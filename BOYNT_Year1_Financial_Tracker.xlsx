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6" autoFilterDateGrouping="1"/>
  </bookViews>
  <sheets>
    <sheet name="START HERE" sheetId="1" state="visible" r:id="rId1"/>
    <sheet name="Dashboard" sheetId="2" state="visible" r:id="rId2"/>
    <sheet name="Products &amp; Pricing" sheetId="3" state="visible" r:id="rId3"/>
    <sheet name="COGS" sheetId="4" state="visible" r:id="rId4"/>
    <sheet name="Capital" sheetId="5" state="visible" r:id="rId5"/>
    <sheet name="Operating Costs" sheetId="6" state="visible" r:id="rId6"/>
    <sheet name="Funding" sheetId="7" state="visible" r:id="rId7"/>
    <sheet name="Sales Log" sheetId="8" state="visible" r:id="rId8"/>
    <sheet name="Orders" sheetId="9" state="visible" r:id="rId9"/>
    <sheet name="Monthly Cash Flow" sheetId="10" state="visible" r:id="rId10"/>
    <sheet name="Tax Prep" sheetId="11" state="visible" r:id="rId11"/>
  </sheets>
  <definedNames>
    <definedName name="ProductList">'Products &amp; Pricing'!$A$14:$A$41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0.0%"/>
    <numFmt numFmtId="166" formatCode="&quot;$&quot;#,##0.00"/>
    <numFmt numFmtId="167" formatCode="mm/dd/yyyy"/>
    <numFmt numFmtId="168" formatCode="mmm\ yyyy"/>
  </numFmts>
  <fonts count="4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6"/>
    </font>
    <font>
      <name val="Calibri"/>
      <family val="2"/>
      <i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B57"/>
      <sz val="11"/>
    </font>
    <font>
      <name val="Calibri"/>
      <family val="2"/>
      <b val="1"/>
      <color rgb="FF1F3B57"/>
      <sz val="10"/>
    </font>
    <font>
      <name val="Calibri"/>
      <family val="2"/>
      <sz val="10"/>
    </font>
    <font>
      <name val="Calibri"/>
      <family val="2"/>
      <b val="1"/>
      <color rgb="FFFFFFFF"/>
      <sz val="10"/>
    </font>
    <font>
      <name val="Calibri"/>
      <family val="2"/>
      <b val="1"/>
      <color rgb="FF006100"/>
      <sz val="11"/>
    </font>
    <font>
      <name val="Calibri"/>
      <family val="2"/>
      <b val="1"/>
      <color rgb="FF9C0006"/>
      <sz val="11"/>
    </font>
    <font>
      <name val="Calibri"/>
      <family val="2"/>
      <b val="1"/>
      <color rgb="FF6B5B1E"/>
      <sz val="10"/>
    </font>
    <font>
      <name val="Calibri"/>
      <family val="2"/>
      <color rgb="FF6B5B1E"/>
      <sz val="10"/>
    </font>
    <font>
      <name val="Calibri"/>
      <family val="2"/>
      <b val="1"/>
      <color rgb="FF1F3B57"/>
      <sz val="13"/>
    </font>
    <font>
      <name val="Calibri"/>
      <family val="2"/>
      <b val="1"/>
      <color rgb="FF1F3B57"/>
      <sz val="11"/>
    </font>
    <font>
      <name val="Calibri"/>
      <family val="2"/>
      <b val="1"/>
      <color rgb="FF9C6500"/>
      <sz val="11"/>
    </font>
    <font>
      <name val="Calibri"/>
      <family val="2"/>
      <color rgb="FF1F3B57"/>
      <sz val="11"/>
    </font>
    <font>
      <name val="Calibri"/>
      <family val="2"/>
      <b val="1"/>
      <color rgb="FF1F3B57"/>
      <sz val="11"/>
    </font>
    <font>
      <name val="Calibri"/>
      <family val="2"/>
      <b val="1"/>
      <color rgb="FF1F3B57"/>
      <sz val="13"/>
    </font>
    <font>
      <name val="Calibri"/>
      <family val="2"/>
      <i val="1"/>
      <color rgb="FF7F7F7F"/>
      <sz val="9"/>
    </font>
    <font>
      <name val="Roboto-regular"/>
      <color rgb="FF000000"/>
      <sz val="11"/>
    </font>
    <font>
      <name val="Calibri"/>
      <family val="2"/>
      <b val="1"/>
      <color rgb="FFFFFFFF"/>
      <sz val="10"/>
    </font>
    <font>
      <name val="Calibri"/>
      <family val="2"/>
      <i val="1"/>
      <color rgb="FF4A7A5E"/>
      <sz val="9"/>
    </font>
    <font>
      <name val="Calibri"/>
      <family val="2"/>
      <b val="1"/>
      <color rgb="FFFFFFFF"/>
      <sz val="11"/>
    </font>
    <font>
      <name val="Calibri"/>
      <family val="2"/>
      <color rgb="FF1F3B57"/>
      <sz val="11"/>
    </font>
    <font>
      <name val="Calibri"/>
      <family val="2"/>
      <color rgb="FF1F3B57"/>
      <sz val="11"/>
    </font>
    <font>
      <name val="Calibri"/>
      <family val="2"/>
      <b val="1"/>
      <color rgb="FF1F3B57"/>
      <sz val="11"/>
    </font>
    <font>
      <name val="Calibri"/>
      <family val="2"/>
      <i val="1"/>
      <color rgb="FF7F7F7F"/>
      <sz val="9"/>
    </font>
    <font>
      <name val="Calibri"/>
      <b val="1"/>
      <color rgb="00FFFFFF"/>
      <sz val="10"/>
    </font>
    <font>
      <name val="Calibri"/>
      <b val="1"/>
      <color rgb="00FFFFFF"/>
      <sz val="11"/>
    </font>
    <font>
      <sz val="10"/>
    </font>
    <font>
      <b val="1"/>
      <color rgb="001F3B57"/>
      <sz val="11"/>
    </font>
    <font>
      <name val="Calibri"/>
      <b val="1"/>
      <color rgb="00FFFFFF"/>
      <sz val="16"/>
    </font>
    <font>
      <name val="Calibri"/>
      <i val="1"/>
      <color rgb="00FFFFFF"/>
      <sz val="11"/>
    </font>
    <font>
      <name val="Calibri"/>
      <b val="1"/>
      <color rgb="006B5B1E"/>
      <sz val="10"/>
    </font>
    <font>
      <name val="Calibri"/>
      <color rgb="006B5B1E"/>
      <sz val="10"/>
    </font>
    <font>
      <b val="1"/>
      <color rgb="001F3B57"/>
      <sz val="10"/>
    </font>
    <font>
      <i val="1"/>
      <color rgb="007F7F7F"/>
      <sz val="9"/>
    </font>
    <font>
      <name val="Calibri"/>
      <b val="1"/>
      <color rgb="001F3B57"/>
      <sz val="13"/>
    </font>
    <font>
      <b val="1"/>
      <color rgb="001F3B57"/>
    </font>
    <font>
      <i val="1"/>
      <sz val="10"/>
    </font>
    <font>
      <b val="1"/>
      <color rgb="009C6500"/>
      <sz val="10"/>
    </font>
    <font>
      <b val="1"/>
      <color rgb="009C0006"/>
      <sz val="10"/>
    </font>
    <font>
      <b val="1"/>
      <color rgb="006B5B1E"/>
      <sz val="10"/>
    </font>
  </fonts>
  <fills count="22">
    <fill>
      <patternFill/>
    </fill>
    <fill>
      <patternFill patternType="gray125"/>
    </fill>
    <fill>
      <patternFill patternType="solid">
        <fgColor rgb="FF1F3B57"/>
      </patternFill>
    </fill>
    <fill>
      <patternFill patternType="solid">
        <fgColor rgb="FF2E7D8C"/>
      </patternFill>
    </fill>
    <fill>
      <patternFill patternType="solid">
        <fgColor rgb="FFFFF6E0"/>
      </patternFill>
    </fill>
    <fill>
      <patternFill patternType="solid">
        <fgColor rgb="FFDCEEF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7E6E6"/>
      </patternFill>
    </fill>
    <fill>
      <patternFill patternType="solid">
        <fgColor rgb="FFFFEB9C"/>
      </patternFill>
    </fill>
    <fill>
      <patternFill patternType="solid">
        <fgColor rgb="FF2E8B57"/>
      </patternFill>
    </fill>
    <fill>
      <patternFill patternType="solid">
        <fgColor rgb="FFE4F7EC"/>
      </patternFill>
    </fill>
    <fill>
      <patternFill patternType="solid">
        <fgColor rgb="FF2E7D8C"/>
      </patternFill>
    </fill>
    <fill>
      <patternFill patternType="solid">
        <fgColor rgb="FFDCEEF3"/>
      </patternFill>
    </fill>
    <fill>
      <patternFill patternType="solid">
        <fgColor rgb="FFDCEEF3"/>
      </patternFill>
    </fill>
    <fill>
      <patternFill patternType="solid">
        <fgColor rgb="002E7D8C"/>
      </patternFill>
    </fill>
    <fill>
      <patternFill patternType="solid">
        <fgColor rgb="00E7E6E6"/>
      </patternFill>
    </fill>
    <fill>
      <patternFill patternType="solid">
        <fgColor rgb="00DCEEF3"/>
      </patternFill>
    </fill>
    <fill>
      <patternFill patternType="solid">
        <fgColor rgb="001F3B57"/>
      </patternFill>
    </fill>
    <fill>
      <patternFill patternType="solid">
        <fgColor rgb="00FFF6E0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FFB7C4CC"/>
      </left>
      <right style="thin">
        <color rgb="FFB7C4CC"/>
      </right>
      <top style="thin">
        <color rgb="FFB7C4CC"/>
      </top>
      <bottom style="thin">
        <color rgb="FFB7C4CC"/>
      </bottom>
      <diagonal/>
    </border>
    <border>
      <left style="thin">
        <color rgb="FFB7C4CC"/>
      </left>
      <right style="thin">
        <color rgb="FFB7C4CC"/>
      </right>
      <top style="thin">
        <color rgb="FFB7C4CC"/>
      </top>
      <bottom style="thin">
        <color rgb="FFB7C4CC"/>
      </bottom>
      <diagonal/>
    </border>
    <border>
      <left style="thin">
        <color rgb="FFB7C4CC"/>
      </left>
      <right style="thin">
        <color rgb="FFB7C4CC"/>
      </right>
      <top style="thin">
        <color rgb="FFB7C4CC"/>
      </top>
      <bottom style="thin">
        <color rgb="FFB7C4CC"/>
      </bottom>
      <diagonal/>
    </border>
    <border>
      <left style="thin">
        <color rgb="00B7C4CC"/>
      </left>
      <right style="thin">
        <color rgb="00B7C4CC"/>
      </right>
      <top style="thin">
        <color rgb="00B7C4CC"/>
      </top>
      <bottom style="thin">
        <color rgb="00B7C4CC"/>
      </bottom>
    </border>
    <border/>
  </borders>
  <cellStyleXfs count="1">
    <xf numFmtId="0" fontId="0" fillId="0" borderId="0"/>
  </cellStyleXfs>
  <cellXfs count="108">
    <xf numFmtId="0" fontId="0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4" borderId="0" pivotButton="0" quotePrefix="0" xfId="0"/>
    <xf numFmtId="0" fontId="7" fillId="3" borderId="0" pivotButton="0" quotePrefix="0" xfId="0"/>
    <xf numFmtId="0" fontId="0" fillId="5" borderId="0" pivotButton="0" quotePrefix="0" xfId="0"/>
    <xf numFmtId="0" fontId="0" fillId="0" borderId="1" pivotButton="0" quotePrefix="0" xfId="0"/>
    <xf numFmtId="0" fontId="8" fillId="6" borderId="0" pivotButton="0" quotePrefix="0" xfId="0"/>
    <xf numFmtId="0" fontId="9" fillId="7" borderId="0" pivotButton="0" quotePrefix="0" xfId="0"/>
    <xf numFmtId="0" fontId="10" fillId="4" borderId="0" pivotButton="0" quotePrefix="0" xfId="0"/>
    <xf numFmtId="0" fontId="11" fillId="4" borderId="0" pivotButton="0" quotePrefix="0" xfId="0"/>
    <xf numFmtId="0" fontId="15" fillId="0" borderId="0" pivotButton="0" quotePrefix="0" xfId="0"/>
    <xf numFmtId="164" fontId="16" fillId="5" borderId="1" pivotButton="0" quotePrefix="0" xfId="0"/>
    <xf numFmtId="0" fontId="12" fillId="0" borderId="0" pivotButton="0" quotePrefix="0" xfId="0"/>
    <xf numFmtId="164" fontId="17" fillId="5" borderId="1" pivotButton="0" quotePrefix="0" xfId="0"/>
    <xf numFmtId="164" fontId="17" fillId="0" borderId="1" pivotButton="0" quotePrefix="0" xfId="0"/>
    <xf numFmtId="165" fontId="16" fillId="5" borderId="1" pivotButton="0" quotePrefix="0" xfId="0"/>
    <xf numFmtId="0" fontId="18" fillId="0" borderId="0" pivotButton="0" quotePrefix="0" xfId="0"/>
    <xf numFmtId="3" fontId="16" fillId="5" borderId="1" pivotButton="0" quotePrefix="0" xfId="0"/>
    <xf numFmtId="9" fontId="16" fillId="5" borderId="1" pivotButton="0" quotePrefix="0" xfId="0"/>
    <xf numFmtId="0" fontId="7" fillId="3" borderId="1" applyAlignment="1" pivotButton="0" quotePrefix="0" xfId="0">
      <alignment horizontal="center" vertical="center" wrapText="1"/>
    </xf>
    <xf numFmtId="166" fontId="0" fillId="0" borderId="1" pivotButton="0" quotePrefix="0" xfId="0"/>
    <xf numFmtId="166" fontId="0" fillId="5" borderId="1" pivotButton="0" quotePrefix="0" xfId="0"/>
    <xf numFmtId="165" fontId="0" fillId="5" borderId="1" pivotButton="0" quotePrefix="0" xfId="0"/>
    <xf numFmtId="0" fontId="0" fillId="5" borderId="1" pivotButton="0" quotePrefix="0" xfId="0"/>
    <xf numFmtId="3" fontId="0" fillId="5" borderId="1" pivotButton="0" quotePrefix="0" xfId="0"/>
    <xf numFmtId="0" fontId="13" fillId="8" borderId="1" pivotButton="0" quotePrefix="0" xfId="0"/>
    <xf numFmtId="3" fontId="13" fillId="8" borderId="1" pivotButton="0" quotePrefix="0" xfId="0"/>
    <xf numFmtId="166" fontId="13" fillId="8" borderId="1" pivotButton="0" quotePrefix="0" xfId="0"/>
    <xf numFmtId="164" fontId="14" fillId="9" borderId="0" pivotButton="0" quotePrefix="0" xfId="0"/>
    <xf numFmtId="164" fontId="13" fillId="5" borderId="0" pivotButton="0" quotePrefix="0" xfId="0"/>
    <xf numFmtId="0" fontId="0" fillId="5" borderId="1" applyAlignment="1" pivotButton="0" quotePrefix="0" xfId="0">
      <alignment horizontal="center"/>
    </xf>
    <xf numFmtId="167" fontId="0" fillId="0" borderId="1" pivotButton="0" quotePrefix="0" xfId="0"/>
    <xf numFmtId="0" fontId="6" fillId="0" borderId="1" pivotButton="0" quotePrefix="0" xfId="0"/>
    <xf numFmtId="164" fontId="0" fillId="5" borderId="1" pivotButton="0" quotePrefix="0" xfId="0"/>
    <xf numFmtId="164" fontId="0" fillId="0" borderId="1" pivotButton="0" quotePrefix="0" xfId="0"/>
    <xf numFmtId="9" fontId="13" fillId="5" borderId="0" pivotButton="0" quotePrefix="0" xfId="0"/>
    <xf numFmtId="3" fontId="0" fillId="0" borderId="1" pivotButton="0" quotePrefix="0" xfId="0"/>
    <xf numFmtId="0" fontId="13" fillId="5" borderId="0" pivotButton="0" quotePrefix="0" xfId="0"/>
    <xf numFmtId="168" fontId="0" fillId="0" borderId="1" pivotButton="0" quotePrefix="0" xfId="0"/>
    <xf numFmtId="164" fontId="13" fillId="8" borderId="1" pivotButton="0" quotePrefix="0" xfId="0"/>
    <xf numFmtId="14" fontId="19" fillId="0" borderId="0" pivotButton="0" quotePrefix="0" xfId="0"/>
    <xf numFmtId="0" fontId="0" fillId="0" borderId="1" applyAlignment="1" pivotButton="0" quotePrefix="0" xfId="0">
      <alignment wrapText="1"/>
    </xf>
    <xf numFmtId="0" fontId="20" fillId="10" borderId="0" pivotButton="0" quotePrefix="0" xfId="0"/>
    <xf numFmtId="0" fontId="0" fillId="10" borderId="0" pivotButton="0" quotePrefix="0" xfId="0"/>
    <xf numFmtId="0" fontId="0" fillId="11" borderId="2" pivotButton="0" quotePrefix="0" xfId="0"/>
    <xf numFmtId="0" fontId="21" fillId="11" borderId="2" pivotButton="0" quotePrefix="0" xfId="0"/>
    <xf numFmtId="166" fontId="0" fillId="11" borderId="2" pivotButton="0" quotePrefix="0" xfId="0"/>
    <xf numFmtId="0" fontId="21" fillId="0" borderId="0" pivotButton="0" quotePrefix="0" xfId="0"/>
    <xf numFmtId="0" fontId="22" fillId="12" borderId="0" pivotButton="0" quotePrefix="0" xfId="0"/>
    <xf numFmtId="0" fontId="0" fillId="12" borderId="0" pivotButton="0" quotePrefix="0" xfId="0"/>
    <xf numFmtId="0" fontId="23" fillId="0" borderId="0" pivotButton="0" quotePrefix="0" xfId="0"/>
    <xf numFmtId="166" fontId="0" fillId="13" borderId="2" pivotButton="0" quotePrefix="0" xfId="0"/>
    <xf numFmtId="166" fontId="0" fillId="0" borderId="2" pivotButton="0" quotePrefix="0" xfId="0"/>
    <xf numFmtId="167" fontId="0" fillId="0" borderId="2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4" fillId="0" borderId="0" pivotButton="0" quotePrefix="0" xfId="0"/>
    <xf numFmtId="166" fontId="0" fillId="14" borderId="3" pivotButton="0" quotePrefix="0" xfId="0"/>
    <xf numFmtId="0" fontId="25" fillId="0" borderId="0" pivotButton="0" quotePrefix="0" xfId="0"/>
    <xf numFmtId="166" fontId="0" fillId="0" borderId="3" pivotButton="0" quotePrefix="0" xfId="0"/>
    <xf numFmtId="0" fontId="26" fillId="0" borderId="0" pivotButton="0" quotePrefix="0" xfId="0"/>
    <xf numFmtId="166" fontId="0" fillId="14" borderId="2" pivotButton="0" quotePrefix="0" xfId="0"/>
    <xf numFmtId="0" fontId="0" fillId="11" borderId="2" applyAlignment="1" pivotButton="0" quotePrefix="0" xfId="0">
      <alignment wrapText="1"/>
    </xf>
    <xf numFmtId="0" fontId="1" fillId="2" borderId="0" applyAlignment="1" pivotButton="0" quotePrefix="0" xfId="0">
      <alignment vertical="center"/>
    </xf>
    <xf numFmtId="0" fontId="0" fillId="0" borderId="0" pivotButton="0" quotePrefix="0" xfId="0"/>
    <xf numFmtId="0" fontId="2" fillId="2" borderId="0" applyAlignment="1" pivotButton="0" quotePrefix="0" xfId="0">
      <alignment vertical="center"/>
    </xf>
    <xf numFmtId="0" fontId="3" fillId="3" borderId="0" pivotButton="0" quotePrefix="0" xfId="0"/>
    <xf numFmtId="166" fontId="30" fillId="0" borderId="4" pivotButton="0" quotePrefix="0" xfId="0"/>
    <xf numFmtId="0" fontId="27" fillId="15" borderId="4" applyAlignment="1" pivotButton="0" quotePrefix="0" xfId="0">
      <alignment horizontal="center" vertical="center" wrapText="1"/>
    </xf>
    <xf numFmtId="0" fontId="3" fillId="0" borderId="5" pivotButton="0" quotePrefix="0" xfId="0"/>
    <xf numFmtId="0" fontId="0" fillId="0" borderId="5" pivotButton="0" quotePrefix="0" xfId="0"/>
    <xf numFmtId="0" fontId="28" fillId="15" borderId="0" pivotButton="0" quotePrefix="0" xfId="0"/>
    <xf numFmtId="0" fontId="0" fillId="15" borderId="0" pivotButton="0" quotePrefix="0" xfId="0"/>
    <xf numFmtId="0" fontId="0" fillId="0" borderId="4" applyAlignment="1" pivotButton="0" quotePrefix="0" xfId="0">
      <alignment horizontal="center"/>
    </xf>
    <xf numFmtId="0" fontId="6" fillId="0" borderId="5" pivotButton="0" quotePrefix="0" xfId="0"/>
    <xf numFmtId="164" fontId="0" fillId="0" borderId="5" pivotButton="0" quotePrefix="0" xfId="0"/>
    <xf numFmtId="0" fontId="29" fillId="0" borderId="4" pivotButton="0" quotePrefix="0" xfId="0"/>
    <xf numFmtId="164" fontId="0" fillId="17" borderId="4" pivotButton="0" quotePrefix="0" xfId="0"/>
    <xf numFmtId="0" fontId="0" fillId="16" borderId="0" pivotButton="0" quotePrefix="0" xfId="0"/>
    <xf numFmtId="0" fontId="31" fillId="18" borderId="0" applyAlignment="1" pivotButton="0" quotePrefix="0" xfId="0">
      <alignment vertical="center"/>
    </xf>
    <xf numFmtId="0" fontId="0" fillId="18" borderId="0" pivotButton="0" quotePrefix="0" xfId="0"/>
    <xf numFmtId="0" fontId="32" fillId="18" borderId="0" applyAlignment="1" pivotButton="0" quotePrefix="0" xfId="0">
      <alignment vertical="center"/>
    </xf>
    <xf numFmtId="0" fontId="33" fillId="19" borderId="0" pivotButton="0" quotePrefix="0" xfId="0"/>
    <xf numFmtId="0" fontId="0" fillId="19" borderId="0" pivotButton="0" quotePrefix="0" xfId="0"/>
    <xf numFmtId="0" fontId="34" fillId="19" borderId="0" pivotButton="0" quotePrefix="0" xfId="0"/>
    <xf numFmtId="0" fontId="35" fillId="0" borderId="4" pivotButton="0" quotePrefix="0" xfId="0"/>
    <xf numFmtId="166" fontId="0" fillId="17" borderId="4" pivotButton="0" quotePrefix="0" xfId="0"/>
    <xf numFmtId="0" fontId="36" fillId="0" borderId="0" pivotButton="0" quotePrefix="0" xfId="0"/>
    <xf numFmtId="0" fontId="38" fillId="16" borderId="4" pivotButton="0" quotePrefix="0" xfId="0"/>
    <xf numFmtId="166" fontId="38" fillId="16" borderId="4" pivotButton="0" quotePrefix="0" xfId="0"/>
    <xf numFmtId="0" fontId="39" fillId="0" borderId="0" pivotButton="0" quotePrefix="0" xfId="0"/>
    <xf numFmtId="0" fontId="40" fillId="0" borderId="0" pivotButton="0" quotePrefix="0" xfId="0"/>
    <xf numFmtId="166" fontId="0" fillId="20" borderId="4" pivotButton="0" quotePrefix="0" xfId="0"/>
    <xf numFmtId="0" fontId="41" fillId="0" borderId="0" pivotButton="0" quotePrefix="0" xfId="0"/>
    <xf numFmtId="166" fontId="0" fillId="21" borderId="4" pivotButton="0" quotePrefix="0" xfId="0"/>
    <xf numFmtId="167" fontId="0" fillId="0" borderId="4" pivotButton="0" quotePrefix="0" xfId="0"/>
    <xf numFmtId="0" fontId="36" fillId="0" borderId="4" pivotButton="0" quotePrefix="0" xfId="0"/>
    <xf numFmtId="166" fontId="0" fillId="0" borderId="4" pivotButton="0" quotePrefix="0" xfId="0"/>
    <xf numFmtId="0" fontId="0" fillId="0" borderId="4" pivotButton="0" quotePrefix="0" xfId="0"/>
    <xf numFmtId="3" fontId="38" fillId="16" borderId="4" pivotButton="0" quotePrefix="0" xfId="0"/>
    <xf numFmtId="0" fontId="35" fillId="0" borderId="0" pivotButton="0" quotePrefix="0" xfId="0"/>
    <xf numFmtId="0" fontId="29" fillId="0" borderId="0" pivotButton="0" quotePrefix="0" xfId="0"/>
    <xf numFmtId="0" fontId="42" fillId="19" borderId="0" pivotButton="0" quotePrefix="0" xfId="0"/>
  </cellXfs>
  <cellStyles count="1">
    <cellStyle name="Normal" xfId="0" builtinId="0"/>
  </cellStyles>
  <dxfs count="42"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444444"/>
      </font>
      <fill>
        <patternFill patternType="solid">
          <fgColor rgb="FFE7E6E6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1F4E78"/>
      </font>
      <fill>
        <patternFill patternType="solid">
          <fgColor rgb="FFBDD7EE"/>
        </patternFill>
      </fill>
    </dxf>
    <dxf>
      <font>
        <color rgb="FF1F4E78"/>
      </font>
      <fill>
        <patternFill patternType="solid">
          <fgColor rgb="FFDDEBF7"/>
        </patternFill>
      </fill>
    </dxf>
    <dxf>
      <font>
        <color rgb="FF974706"/>
      </font>
      <fill>
        <patternFill patternType="solid">
          <fgColor rgb="FFFCE4D6"/>
        </patternFill>
      </fill>
    </dxf>
    <dxf>
      <font>
        <color rgb="FF9C6500"/>
      </font>
      <fill>
        <patternFill patternType="solid">
          <fgColor rgb="FFFFEB9C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444444"/>
      </font>
      <fill>
        <patternFill patternType="solid">
          <fgColor rgb="FFE7E6E6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  <dxf>
      <fill>
        <patternFill patternType="solid">
          <fgColor rgb="00F2F8FA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B57"/>
    <outlinePr summaryBelow="1" summaryRight="1"/>
    <pageSetUpPr/>
  </sheetPr>
  <dimension ref="A1:J46"/>
  <sheetViews>
    <sheetView topLeftCell="A14" workbookViewId="0">
      <selection activeCell="A1" sqref="A1:J1"/>
    </sheetView>
  </sheetViews>
  <sheetFormatPr baseColWidth="8" defaultRowHeight="14.4"/>
  <cols>
    <col width="3" customWidth="1" style="69" min="1" max="1"/>
    <col width="24" customWidth="1" style="69" min="2" max="2"/>
    <col width="95" customWidth="1" style="69" min="3" max="3"/>
    <col width="14" customWidth="1" style="69" min="4" max="10"/>
  </cols>
  <sheetData>
    <row r="1" ht="26.1" customHeight="1" s="69">
      <c r="A1" s="68" t="inlineStr">
        <is>
          <t>BOYNT — Year 1 Financial Tracker</t>
        </is>
      </c>
    </row>
    <row r="2" ht="15.9" customHeight="1" s="69">
      <c r="A2" s="70" t="inlineStr">
        <is>
          <t>Floating sunglasses, funded by you and your backers. This page explains how the whole workbook fits together.</t>
        </is>
      </c>
    </row>
    <row r="3"/>
    <row r="4"/>
    <row r="5" ht="20.1" customHeight="1" s="69">
      <c r="A5" s="71" t="inlineStr">
        <is>
          <t>HOW THE WORKBOOK IS ORGANIZED</t>
        </is>
      </c>
    </row>
    <row r="6"/>
    <row r="7">
      <c r="B7" s="3" t="inlineStr">
        <is>
          <t>Money coming IN is tracked on two tabs:</t>
        </is>
      </c>
    </row>
    <row r="8">
      <c r="B8" s="4" t="inlineStr">
        <is>
          <t>Funding</t>
        </is>
      </c>
      <c r="C8" s="5" t="inlineStr">
        <is>
          <t>Every dollar you raise before/while starting up: Kickstarter pledges, donations, your own money, loans.</t>
        </is>
      </c>
    </row>
    <row r="9">
      <c r="B9" s="4" t="inlineStr">
        <is>
          <t>Sales Log</t>
        </is>
      </c>
      <c r="C9" s="5" t="inlineStr">
        <is>
          <t>Every dollar customers pay you for sunglasses. One row per product per order.</t>
        </is>
      </c>
    </row>
    <row r="10"/>
    <row r="11">
      <c r="B11" s="3" t="inlineStr">
        <is>
          <t>Money going OUT is tracked on two tabs:</t>
        </is>
      </c>
    </row>
    <row r="12">
      <c r="B12" s="4" t="inlineStr">
        <is>
          <t>Capital</t>
        </is>
      </c>
      <c r="C12" s="5" t="inlineStr">
        <is>
          <t>One-time startup equipment: 3D printer, injection molder, tools, LLC filing. Things you buy ONCE.</t>
        </is>
      </c>
    </row>
    <row r="13">
      <c r="B13" s="4" t="inlineStr">
        <is>
          <t>Operating Costs</t>
        </is>
      </c>
      <c r="C13" s="5" t="inlineStr">
        <is>
          <t>Everything you keep paying for: materials, packaging, insurance, website, marketing, fees.</t>
        </is>
      </c>
    </row>
    <row r="14"/>
    <row r="15">
      <c r="B15" s="3" t="inlineStr">
        <is>
          <t>Reference &amp; planning tabs:</t>
        </is>
      </c>
    </row>
    <row r="16">
      <c r="B16" s="4" t="inlineStr">
        <is>
          <t>Products &amp; Pricing</t>
        </is>
      </c>
      <c r="C16" s="5" t="inlineStr">
        <is>
          <t>Your official price list. Every dropdown in the workbook pulls from this tab.</t>
        </is>
      </c>
    </row>
    <row r="17">
      <c r="B17" s="4" t="inlineStr">
        <is>
          <t>COGS</t>
        </is>
      </c>
      <c r="C17" s="5" t="inlineStr">
        <is>
          <t>What ONE pair of each model costs you to make. Auto-calculates your true profit per pair.</t>
        </is>
      </c>
    </row>
    <row r="18">
      <c r="B18" s="4" t="inlineStr">
        <is>
          <t>Orders</t>
        </is>
      </c>
      <c r="C18" s="5" t="inlineStr">
        <is>
          <t>Who ordered what, where it ships, and whether you have fulfilled it yet.</t>
        </is>
      </c>
    </row>
    <row r="19">
      <c r="B19" s="105" t="inlineStr">
        <is>
          <t>Tax Prep</t>
        </is>
      </c>
      <c r="C19" s="106" t="inlineStr">
        <is>
          <t>Turns your expenses into Schedule C tax lines, plus the travel log the IRS expects. Nothing deducts automatically — this is the paperwork side.</t>
        </is>
      </c>
    </row>
    <row r="20">
      <c r="B20" s="3" t="inlineStr">
        <is>
          <t>Summary tabs (all-formula, you never type on these):</t>
        </is>
      </c>
    </row>
    <row r="21">
      <c r="B21" s="4" t="inlineStr">
        <is>
          <t>Dashboard</t>
        </is>
      </c>
      <c r="C21" s="5" t="inlineStr">
        <is>
          <t>The big picture: total in, total out, cash position, profit, order stats. Green = healthy, red = in the hole.</t>
        </is>
      </c>
    </row>
    <row r="22">
      <c r="B22" s="4" t="inlineStr">
        <is>
          <t>Monthly Cash Flow</t>
        </is>
      </c>
      <c r="C22" s="5" t="inlineStr">
        <is>
          <t>Month-by-month money in vs. out with a running cash balance.</t>
        </is>
      </c>
    </row>
    <row r="24" ht="20.1" customHeight="1" s="69">
      <c r="A24" s="71" t="inlineStr">
        <is>
          <t>COLOR KEY (used on every tab)</t>
        </is>
      </c>
    </row>
    <row r="26">
      <c r="B26" s="6" t="inlineStr">
        <is>
          <t>Instructions</t>
        </is>
      </c>
      <c r="C26" s="5" t="inlineStr">
        <is>
          <t>Instruction blocks — read these, never type over them.</t>
        </is>
      </c>
    </row>
    <row r="27">
      <c r="B27" s="7" t="inlineStr">
        <is>
          <t>Headers</t>
        </is>
      </c>
      <c r="C27" s="5" t="inlineStr">
        <is>
          <t>Column headers.</t>
        </is>
      </c>
    </row>
    <row r="28">
      <c r="B28" s="8" t="inlineStr">
        <is>
          <t>Auto-calculated</t>
        </is>
      </c>
      <c r="C28" s="5" t="inlineStr">
        <is>
          <t>Calculated cells — formulas live here. Don't type in them; they fill in automatically.</t>
        </is>
      </c>
    </row>
    <row r="29">
      <c r="B29" s="9" t="inlineStr">
        <is>
          <t>Your input</t>
        </is>
      </c>
      <c r="C29" s="5" t="inlineStr">
        <is>
          <t>Input cells — this is where YOU type.</t>
        </is>
      </c>
    </row>
    <row r="30">
      <c r="B30" s="10" t="inlineStr">
        <is>
          <t>Positive</t>
        </is>
      </c>
      <c r="C30" s="5" t="inlineStr">
        <is>
          <t>Automatic: shown when money in ≥ money out (you're ahead).</t>
        </is>
      </c>
    </row>
    <row r="31">
      <c r="B31" s="11" t="inlineStr">
        <is>
          <t>Negative</t>
        </is>
      </c>
      <c r="C31" s="5" t="inlineStr">
        <is>
          <t>Automatic: shown when money out &gt; money in (you're in the hole).</t>
        </is>
      </c>
    </row>
    <row r="33" ht="20.1" customHeight="1" s="69">
      <c r="A33" s="71" t="inlineStr">
        <is>
          <t>YOUR WEEKLY ROUTINE (10 minutes)</t>
        </is>
      </c>
    </row>
    <row r="35">
      <c r="B35" s="4" t="inlineStr">
        <is>
          <t>1.</t>
        </is>
      </c>
      <c r="C35" s="5" t="inlineStr">
        <is>
          <t>New pledge or donation came in?  →  Add a row on Funding.</t>
        </is>
      </c>
    </row>
    <row r="36">
      <c r="B36" s="4" t="inlineStr">
        <is>
          <t>2.</t>
        </is>
      </c>
      <c r="C36" s="5" t="inlineStr">
        <is>
          <t>Made a sale?  →  Add a row on Sales Log AND a row on Orders (same Order #).</t>
        </is>
      </c>
    </row>
    <row r="37">
      <c r="B37" s="4" t="inlineStr">
        <is>
          <t>3.</t>
        </is>
      </c>
      <c r="C37" s="5" t="inlineStr">
        <is>
          <t>Shipped something?  →  On Orders, fill Date Shipped + Tracking #, set Status, flip Fulfilled? to Yes.</t>
        </is>
      </c>
    </row>
    <row r="38">
      <c r="B38" s="4" t="inlineStr">
        <is>
          <t>4.</t>
        </is>
      </c>
      <c r="C38" s="5" t="inlineStr">
        <is>
          <t>Bought anything?  →  Equipment goes on Capital; everything else goes on Operating Costs.</t>
        </is>
      </c>
    </row>
    <row r="39">
      <c r="B39" s="4" t="inlineStr">
        <is>
          <t>5.</t>
        </is>
      </c>
      <c r="C39" s="5" t="inlineStr">
        <is>
          <t>Glance at Dashboard and Monthly Cash Flow. If numbers are red, you're spending faster than you're earning.</t>
        </is>
      </c>
    </row>
    <row r="41" ht="20.1" customHeight="1" s="69">
      <c r="A41" s="71" t="inlineStr">
        <is>
          <t>TIPS</t>
        </is>
      </c>
    </row>
    <row r="43">
      <c r="B43" s="4" t="inlineStr">
        <is>
          <t>•</t>
        </is>
      </c>
      <c r="C43" s="5" t="inlineStr">
        <is>
          <t>Kickstarter keeps ~5% + ~3-5% payment processing. Enter the FEE in the Fees column on Funding so your net is accurate.</t>
        </is>
      </c>
    </row>
    <row r="44">
      <c r="B44" s="4" t="inlineStr">
        <is>
          <t>•</t>
        </is>
      </c>
      <c r="C44" s="5" t="inlineStr">
        <is>
          <t>Always use the product names from Products &amp; Pricing (the dropdowns do this for you) — the formulas match on exact names.</t>
        </is>
      </c>
    </row>
    <row r="45">
      <c r="B45" s="4" t="inlineStr">
        <is>
          <t>•</t>
        </is>
      </c>
      <c r="C45" s="5" t="inlineStr">
        <is>
          <t>Enter dates on everything. The Monthly Cash Flow tab sorts your money into months using those dates.</t>
        </is>
      </c>
    </row>
    <row r="46">
      <c r="B46" s="4" t="inlineStr">
        <is>
          <t>•</t>
        </is>
      </c>
      <c r="C46" s="5" t="inlineStr">
        <is>
          <t>Save a copy before big edits. If a blue formula cell gets deleted, copy it down from the row above.</t>
        </is>
      </c>
    </row>
  </sheetData>
  <mergeCells count="6">
    <mergeCell ref="A1:J1"/>
    <mergeCell ref="A5:J5"/>
    <mergeCell ref="A24:J24"/>
    <mergeCell ref="A2:J2"/>
    <mergeCell ref="A41:J41"/>
    <mergeCell ref="A33:J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869E"/>
    <outlinePr summaryBelow="1" summaryRight="1"/>
    <pageSetUpPr/>
  </sheetPr>
  <dimension ref="A1:F37"/>
  <sheetViews>
    <sheetView topLeftCell="A3" workbookViewId="0">
      <selection activeCell="F13" sqref="F13"/>
    </sheetView>
  </sheetViews>
  <sheetFormatPr baseColWidth="8" defaultRowHeight="14.4"/>
  <cols>
    <col width="3" customWidth="1" style="69" min="1" max="1"/>
    <col width="36" customWidth="1" style="69" min="2" max="2"/>
    <col width="16" customWidth="1" style="69" min="3" max="3"/>
    <col width="4" customWidth="1" style="69" min="4" max="4"/>
    <col width="36" customWidth="1" style="69" min="5" max="5"/>
    <col width="16" customWidth="1" style="69" min="6" max="6"/>
  </cols>
  <sheetData>
    <row r="1" ht="26.1" customHeight="1" s="69">
      <c r="A1" s="68" t="inlineStr">
        <is>
          <t>Dashboard — BOYNT Year 1 at a Glance</t>
        </is>
      </c>
    </row>
    <row r="2" ht="15.9" customHeight="1" s="69">
      <c r="A2" s="70" t="inlineStr">
        <is>
          <t>All-formula summary. Green means you're ahead; red means you're in the hole. Never type on this tab.</t>
        </is>
      </c>
    </row>
    <row r="4" ht="14.1" customHeight="1" s="69">
      <c r="A4" s="12" t="inlineStr">
        <is>
          <t>WHAT THIS TAB IS FOR:  the 30-second health check. Every number pulls live from the other tabs the moment you</t>
        </is>
      </c>
      <c r="B4" s="6" t="n"/>
      <c r="C4" s="6" t="n"/>
      <c r="D4" s="6" t="n"/>
      <c r="E4" s="6" t="n"/>
      <c r="F4" s="6" t="n"/>
    </row>
    <row r="5" ht="14.1" customHeight="1" s="69">
      <c r="A5" s="13" t="inlineStr">
        <is>
          <t>log something. CASH VIEW = actual dollars in vs. out (includes funding &amp; equipment). PROFIT VIEW = is the</t>
        </is>
      </c>
      <c r="B5" s="6" t="n"/>
      <c r="C5" s="6" t="n"/>
      <c r="D5" s="6" t="n"/>
      <c r="E5" s="6" t="n"/>
      <c r="F5" s="6" t="n"/>
    </row>
    <row r="6" ht="14.1" customHeight="1" s="69">
      <c r="A6" s="13" t="inlineStr">
        <is>
          <t>business itself making money on the glasses it sells (sales minus what they cost to make and run)?</t>
        </is>
      </c>
      <c r="B6" s="6" t="n"/>
      <c r="C6" s="6" t="n"/>
      <c r="D6" s="6" t="n"/>
      <c r="E6" s="6" t="n"/>
      <c r="F6" s="6" t="n"/>
    </row>
    <row r="8">
      <c r="B8" s="71" t="inlineStr">
        <is>
          <t>CASH VIEW — money in vs. money out</t>
        </is>
      </c>
      <c r="C8" s="2" t="n"/>
      <c r="E8" s="71" t="inlineStr">
        <is>
          <t>PROFIT VIEW — is the business itself profitable?</t>
        </is>
      </c>
      <c r="F8" s="2" t="n"/>
    </row>
    <row r="9">
      <c r="B9" s="14" t="inlineStr">
        <is>
          <t>Funding raised (net of fees)</t>
        </is>
      </c>
      <c r="C9" s="15">
        <f>Funding!$G$309</f>
        <v/>
      </c>
      <c r="E9" s="14" t="inlineStr">
        <is>
          <t>Sales revenue (net)</t>
        </is>
      </c>
      <c r="F9" s="15">
        <f>'Sales Log'!$L$314</f>
        <v/>
      </c>
    </row>
    <row r="10">
      <c r="B10" s="14" t="inlineStr">
        <is>
          <t>Sales revenue (net)</t>
        </is>
      </c>
      <c r="C10" s="15">
        <f>'Sales Log'!$L$314</f>
        <v/>
      </c>
      <c r="E10" s="14" t="inlineStr">
        <is>
          <t>Cost of goods sold (per-pair × units)</t>
        </is>
      </c>
      <c r="F10" s="15">
        <f>COGS!$I$29</f>
        <v/>
      </c>
    </row>
    <row r="11" ht="17.25" customHeight="1" s="69">
      <c r="B11" s="16" t="inlineStr">
        <is>
          <t>TOTAL MONEY IN</t>
        </is>
      </c>
      <c r="C11" s="17">
        <f>C9+C10</f>
        <v/>
      </c>
      <c r="E11" s="16" t="inlineStr">
        <is>
          <t>GROSS PROFIT</t>
        </is>
      </c>
      <c r="F11" s="18">
        <f>F9-F10</f>
        <v/>
      </c>
    </row>
    <row r="13">
      <c r="B13" s="14" t="inlineStr">
        <is>
          <t>Capital equipment spent</t>
        </is>
      </c>
      <c r="C13" s="15">
        <f>SUMIFS(Capital!$G$14:$G$63,Capital!$E$14:$E$63,"&gt;0")</f>
        <v/>
      </c>
      <c r="E13" s="14" t="inlineStr">
        <is>
          <t>Operating costs (excl. materials)*</t>
        </is>
      </c>
      <c r="F13" s="15">
        <f>'Operating Costs'!$E$213-SUMIFS('Operating Costs'!$E$13:$E$212,'Operating Costs'!$C$13:$C$212,"Materials &amp; Product Supplies")</f>
        <v/>
      </c>
    </row>
    <row r="14" ht="17.25" customHeight="1" s="69">
      <c r="B14" s="14" t="inlineStr">
        <is>
          <t>Operating costs paid</t>
        </is>
      </c>
      <c r="C14" s="15">
        <f>'Operating Costs'!$E$213</f>
        <v/>
      </c>
      <c r="E14" s="16" t="inlineStr">
        <is>
          <t>EST. NET PROFIT</t>
        </is>
      </c>
      <c r="F14" s="18">
        <f>F11-F13</f>
        <v/>
      </c>
    </row>
    <row r="15" ht="17.25" customHeight="1" s="69">
      <c r="B15" s="16" t="inlineStr">
        <is>
          <t>TOTAL MONEY OUT</t>
        </is>
      </c>
      <c r="C15" s="17">
        <f>C13+C14</f>
        <v/>
      </c>
      <c r="E15" s="14" t="inlineStr">
        <is>
          <t>Profit margin</t>
        </is>
      </c>
      <c r="F15" s="19">
        <f>IF(N(F9)=0,"",F14/F9)</f>
        <v/>
      </c>
    </row>
    <row r="16">
      <c r="E16" s="20" t="inlineStr">
        <is>
          <t>*Materials are excluded here because they're already</t>
        </is>
      </c>
    </row>
    <row r="17" ht="17.25" customHeight="1" s="69">
      <c r="B17" s="16" t="inlineStr">
        <is>
          <t>CASH POSITION (In − Out)</t>
        </is>
      </c>
      <c r="C17" s="18">
        <f>C11-C15</f>
        <v/>
      </c>
      <c r="E17" s="20" t="inlineStr">
        <is>
          <t xml:space="preserve">  counted per-pair inside COGS — no double counting.</t>
        </is>
      </c>
    </row>
    <row r="18">
      <c r="B18" s="20" t="inlineStr">
        <is>
          <t>Green = you have more than you've spent. Red = you're in debt.</t>
        </is>
      </c>
    </row>
    <row r="20">
      <c r="B20" s="71" t="inlineStr">
        <is>
          <t>ORDERS &amp; FULFILLMENT</t>
        </is>
      </c>
      <c r="C20" s="2" t="n"/>
      <c r="E20" s="71" t="inlineStr">
        <is>
          <t>FUNDING BREAKDOWN</t>
        </is>
      </c>
      <c r="F20" s="2" t="n"/>
    </row>
    <row r="21">
      <c r="B21" s="14" t="inlineStr">
        <is>
          <t>Orders received</t>
        </is>
      </c>
      <c r="C21" s="21">
        <f>Orders!$C$13</f>
        <v/>
      </c>
      <c r="E21" s="14" t="inlineStr">
        <is>
          <t>Kickstarter raised (net)</t>
        </is>
      </c>
      <c r="F21" s="15">
        <f>Funding!D11</f>
        <v/>
      </c>
    </row>
    <row r="22">
      <c r="B22" s="14" t="inlineStr">
        <is>
          <t>Orders fulfilled</t>
        </is>
      </c>
      <c r="C22" s="21">
        <f>Orders!$E$13</f>
        <v/>
      </c>
      <c r="E22" s="14" t="inlineStr">
        <is>
          <t>Donations</t>
        </is>
      </c>
      <c r="F22" s="15">
        <f>SUMIFS(Funding!$G$14:$G$308,Funding!$B$14:$B$308,"Donation")</f>
        <v/>
      </c>
    </row>
    <row r="23">
      <c r="B23" s="14" t="inlineStr">
        <is>
          <t>Orders still open</t>
        </is>
      </c>
      <c r="C23" s="21">
        <f>Orders!$H$13</f>
        <v/>
      </c>
      <c r="E23" s="14" t="inlineStr">
        <is>
          <t>Kickstarter goal</t>
        </is>
      </c>
      <c r="F23" s="15">
        <f>Funding!B11</f>
        <v/>
      </c>
    </row>
    <row r="24">
      <c r="B24" s="14" t="inlineStr">
        <is>
          <t>Pairs sold (units)</t>
        </is>
      </c>
      <c r="C24" s="21">
        <f>'Sales Log'!$E$314</f>
        <v/>
      </c>
      <c r="E24" s="14" t="inlineStr">
        <is>
          <t>% of goal reached</t>
        </is>
      </c>
      <c r="F24" s="22">
        <f>IF(N(F23)=0,"",F21/F23)</f>
        <v/>
      </c>
    </row>
    <row r="27">
      <c r="B27" s="52" t="inlineStr">
        <is>
          <t>BANK CHECK — does the sheet match the bank?</t>
        </is>
      </c>
      <c r="C27" s="53" t="n"/>
    </row>
    <row r="28">
      <c r="B28" s="54" t="inlineStr">
        <is>
          <t>Sheet cash position (auto)</t>
        </is>
      </c>
      <c r="C28" s="55">
        <f>C17</f>
        <v/>
      </c>
    </row>
    <row r="29">
      <c r="B29" s="54" t="inlineStr">
        <is>
          <t>Business cash in hand, not deposited</t>
        </is>
      </c>
      <c r="C29" s="56" t="n">
        <v>0</v>
      </c>
    </row>
    <row r="30">
      <c r="B30" s="61" t="inlineStr">
        <is>
          <t>Pledged but NOT in the bank yet (auto)</t>
        </is>
      </c>
      <c r="C30" s="62">
        <f>SUMIFS(Funding!$G$14:$G$308,Funding!$H$14:$H$308,"No")+SUMIFS(Funding!$G$14:$G$308,Funding!$H$14:$H$308,"Pending")</f>
        <v/>
      </c>
    </row>
    <row r="31">
      <c r="B31" s="63" t="inlineStr">
        <is>
          <t>EXPECTED BANK BALANCE (auto)</t>
        </is>
      </c>
      <c r="C31" s="62">
        <f>C28-C29-C30</f>
        <v/>
      </c>
    </row>
    <row r="32">
      <c r="B32" s="61" t="inlineStr">
        <is>
          <t>Your actual bank balance (type it in)</t>
        </is>
      </c>
      <c r="C32" s="72" t="n"/>
    </row>
    <row r="33">
      <c r="B33" s="63" t="inlineStr">
        <is>
          <t>DIFFERENCE (should be $0)</t>
        </is>
      </c>
      <c r="C33" s="64">
        <f>IF(C32="","",C32-C31)</f>
        <v/>
      </c>
    </row>
    <row r="34">
      <c r="B34" s="65" t="inlineStr">
        <is>
          <t>Kickstarter pledges only reach your bank after the campaign ends and pays out — until</t>
        </is>
      </c>
    </row>
    <row r="35">
      <c r="B35" s="65" t="inlineStr">
        <is>
          <t>then they sit in 'pledged but not in bank'. When the payout lands: flip those rows to</t>
        </is>
      </c>
    </row>
    <row r="36">
      <c r="B36" s="65" t="inlineStr">
        <is>
          <t>Received = Yes, enter the REAL fees Kickstarter reports, and set the date to payout day.</t>
        </is>
      </c>
    </row>
    <row r="37">
      <c r="B37" s="65" t="inlineStr">
        <is>
          <t>Cash rule: personal cash spent = add matching 'Personal Money In'. Difference green = even.</t>
        </is>
      </c>
    </row>
  </sheetData>
  <mergeCells count="2">
    <mergeCell ref="A2:F2"/>
    <mergeCell ref="A1:F1"/>
  </mergeCells>
  <conditionalFormatting sqref="C17">
    <cfRule type="cellIs" priority="1" operator="greaterThanOrEqual" dxfId="1">
      <formula>0</formula>
    </cfRule>
    <cfRule type="cellIs" priority="2" operator="lessThan" dxfId="0">
      <formula>0</formula>
    </cfRule>
  </conditionalFormatting>
  <conditionalFormatting sqref="C33">
    <cfRule type="expression" priority="7" dxfId="1">
      <formula>AND(C33&lt;&gt;"",ABS(C33)&lt;0.01)</formula>
    </cfRule>
    <cfRule type="expression" priority="8" dxfId="0">
      <formula>AND(C33&lt;&gt;"",ABS(C33)&gt;=0.01)</formula>
    </cfRule>
  </conditionalFormatting>
  <conditionalFormatting sqref="F11">
    <cfRule type="cellIs" priority="3" operator="greaterThanOrEqual" dxfId="1">
      <formula>0</formula>
    </cfRule>
    <cfRule type="cellIs" priority="4" operator="lessThan" dxfId="0">
      <formula>0</formula>
    </cfRule>
  </conditionalFormatting>
  <conditionalFormatting sqref="F14">
    <cfRule type="cellIs" priority="5" operator="greaterThanOrEqual" dxfId="1">
      <formula>0</formula>
    </cfRule>
    <cfRule type="cellIs" priority="6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496A9"/>
    <outlinePr summaryBelow="1" summaryRight="1"/>
    <pageSetUpPr/>
  </sheetPr>
  <dimension ref="A1:G41"/>
  <sheetViews>
    <sheetView workbookViewId="0">
      <pane ySplit="13" topLeftCell="A26" activePane="bottomLeft" state="frozen"/>
      <selection pane="bottomLeft" activeCell="G38" sqref="G38"/>
    </sheetView>
  </sheetViews>
  <sheetFormatPr baseColWidth="8" defaultRowHeight="14.4"/>
  <cols>
    <col width="34" customWidth="1" style="69" min="1" max="1"/>
    <col width="16" customWidth="1" style="69" min="2" max="2"/>
    <col width="20" customWidth="1" style="69" min="3" max="3"/>
    <col width="13" customWidth="1" style="69" min="4" max="6"/>
    <col width="30" customWidth="1" style="69" min="7" max="7"/>
  </cols>
  <sheetData>
    <row r="1" ht="26.1" customHeight="1" s="69">
      <c r="A1" s="68" t="inlineStr">
        <is>
          <t>Products &amp; Pricing — Official Price List</t>
        </is>
      </c>
    </row>
    <row r="2" ht="15.9" customHeight="1" s="69">
      <c r="A2" s="70" t="inlineStr">
        <is>
          <t>The master list of everything BOYNT sells. Every product dropdown in this workbook pulls from column A.</t>
        </is>
      </c>
    </row>
    <row r="4" ht="14.1" customHeight="1" s="69">
      <c r="A4" s="12" t="inlineStr">
        <is>
          <t>WHAT THIS TAB IS FOR:  one row per product you sell. It feeds the dropdowns on Sales Log, Orders, and COGS,</t>
        </is>
      </c>
      <c r="B4" s="6" t="n"/>
      <c r="C4" s="6" t="n"/>
      <c r="D4" s="6" t="n"/>
      <c r="E4" s="6" t="n"/>
      <c r="F4" s="6" t="n"/>
      <c r="G4" s="6" t="n"/>
    </row>
    <row r="5" ht="14.1" customHeight="1" s="69">
      <c r="A5" s="12" t="inlineStr">
        <is>
          <t>and it shows your profit per pair once COGS is filled in.</t>
        </is>
      </c>
      <c r="B5" s="6" t="n"/>
      <c r="C5" s="6" t="n"/>
      <c r="D5" s="6" t="n"/>
      <c r="E5" s="6" t="n"/>
      <c r="F5" s="6" t="n"/>
      <c r="G5" s="6" t="n"/>
    </row>
    <row r="6" ht="14.1" customHeight="1" s="69">
      <c r="A6" s="13" t="inlineStr">
        <is>
          <t>WHAT GOES HERE:  Product Name (exact name you sell under), Frame Style, Lens/Colorway, and your Selling Price.</t>
        </is>
      </c>
      <c r="B6" s="6" t="n"/>
      <c r="C6" s="6" t="n"/>
      <c r="D6" s="6" t="n"/>
      <c r="E6" s="6" t="n"/>
      <c r="F6" s="6" t="n"/>
      <c r="G6" s="6" t="n"/>
    </row>
    <row r="7" ht="14.1" customHeight="1" s="69">
      <c r="A7" s="13" t="inlineStr">
        <is>
          <t>Cost per Unit, Profit, and Margin % are AUTOMATIC — they come from the COGS tab. Don't type in the blue columns.</t>
        </is>
      </c>
      <c r="B7" s="6" t="n"/>
      <c r="C7" s="6" t="n"/>
      <c r="D7" s="6" t="n"/>
      <c r="E7" s="6" t="n"/>
      <c r="F7" s="6" t="n"/>
      <c r="G7" s="6" t="n"/>
    </row>
    <row r="8" ht="14.1" customHeight="1" s="69">
      <c r="A8" s="13" t="inlineStr">
        <is>
          <t>WHEN TO UPDATE:  add a row when you launch a new model or colorway; edit the price if you change pricing.</t>
        </is>
      </c>
      <c r="B8" s="6" t="n"/>
      <c r="C8" s="6" t="n"/>
      <c r="D8" s="6" t="n"/>
      <c r="E8" s="6" t="n"/>
      <c r="F8" s="6" t="n"/>
      <c r="G8" s="6" t="n"/>
    </row>
    <row r="9" ht="14.1" customHeight="1" s="69">
      <c r="A9" s="13" t="inlineStr">
        <is>
          <t>NOTE: your 9 launch products are pre-loaded. The green rows further down are your Kickstarter reward tiers.</t>
        </is>
      </c>
      <c r="B9" s="6" t="n"/>
      <c r="C9" s="6" t="n"/>
      <c r="D9" s="6" t="n"/>
      <c r="E9" s="6" t="n"/>
      <c r="F9" s="6" t="n"/>
      <c r="G9" s="6" t="n"/>
    </row>
    <row r="13" ht="43.5" customHeight="1" s="69">
      <c r="A13" s="23" t="inlineStr">
        <is>
          <t>Product Name</t>
        </is>
      </c>
      <c r="B13" s="23" t="inlineStr">
        <is>
          <t>Frame Style</t>
        </is>
      </c>
      <c r="C13" s="23" t="inlineStr">
        <is>
          <t>Lens / Colorway</t>
        </is>
      </c>
      <c r="D13" s="23" t="inlineStr">
        <is>
          <t>Selling Price</t>
        </is>
      </c>
      <c r="E13" s="23" t="inlineStr">
        <is>
          <t>Cost per Unit (auto from COGS)</t>
        </is>
      </c>
      <c r="F13" s="23" t="inlineStr">
        <is>
          <t>Profit per Pair (auto)</t>
        </is>
      </c>
      <c r="G13" s="23" t="inlineStr">
        <is>
          <t>Margin % (auto)</t>
        </is>
      </c>
    </row>
    <row r="14">
      <c r="A14" s="9" t="inlineStr">
        <is>
          <t>The Classics</t>
        </is>
      </c>
      <c r="B14" s="9" t="inlineStr">
        <is>
          <t>The Classics</t>
        </is>
      </c>
      <c r="C14" s="9" t="inlineStr">
        <is>
          <t>Grey Lens</t>
        </is>
      </c>
      <c r="D14" s="24" t="n">
        <v>25</v>
      </c>
      <c r="E14" s="25">
        <f>IF(A14="","",COGS!G14)</f>
        <v/>
      </c>
      <c r="F14" s="25">
        <f>IF(OR(A14="",E14=""),"",D14-E14)</f>
        <v/>
      </c>
      <c r="G14" s="26">
        <f>IF(OR(A14="",E14="",D14=0),"",(D14-E14)/D14)</f>
        <v/>
      </c>
    </row>
    <row r="15">
      <c r="A15" s="9" t="inlineStr">
        <is>
          <t>The Classics Ocean Blue</t>
        </is>
      </c>
      <c r="B15" s="9" t="inlineStr">
        <is>
          <t>The Classics</t>
        </is>
      </c>
      <c r="C15" s="9" t="inlineStr">
        <is>
          <t>Blue Mirror REVO</t>
        </is>
      </c>
      <c r="D15" s="24" t="n">
        <v>28</v>
      </c>
      <c r="E15" s="25">
        <f>IF(A15="","",COGS!G15)</f>
        <v/>
      </c>
      <c r="F15" s="25">
        <f>IF(OR(A15="",E15=""),"",D15-E15)</f>
        <v/>
      </c>
      <c r="G15" s="26">
        <f>IF(OR(A15="",E15="",D15=0),"",(D15-E15)/D15)</f>
        <v/>
      </c>
    </row>
    <row r="16">
      <c r="A16" s="9" t="inlineStr">
        <is>
          <t>The Classics Driftwood Sand</t>
        </is>
      </c>
      <c r="B16" s="9" t="inlineStr">
        <is>
          <t>The Classics</t>
        </is>
      </c>
      <c r="C16" s="9" t="inlineStr">
        <is>
          <t>Brown / Amber</t>
        </is>
      </c>
      <c r="D16" s="24" t="n">
        <v>30</v>
      </c>
      <c r="E16" s="25">
        <f>IF(A16="","",COGS!G16)</f>
        <v/>
      </c>
      <c r="F16" s="25">
        <f>IF(OR(A16="",E16=""),"",D16-E16)</f>
        <v/>
      </c>
      <c r="G16" s="26">
        <f>IF(OR(A16="",E16="",D16=0),"",(D16-E16)/D16)</f>
        <v/>
      </c>
    </row>
    <row r="17">
      <c r="A17" s="9" t="inlineStr">
        <is>
          <t>Drifters</t>
        </is>
      </c>
      <c r="B17" s="9" t="inlineStr">
        <is>
          <t>Drifters</t>
        </is>
      </c>
      <c r="C17" s="9" t="inlineStr">
        <is>
          <t>Grey</t>
        </is>
      </c>
      <c r="D17" s="24" t="n">
        <v>30</v>
      </c>
      <c r="E17" s="25">
        <f>IF(A17="","",COGS!G17)</f>
        <v/>
      </c>
      <c r="F17" s="25">
        <f>IF(OR(A17="",E17=""),"",D17-E17)</f>
        <v/>
      </c>
      <c r="G17" s="26">
        <f>IF(OR(A17="",E17="",D17=0),"",(D17-E17)/D17)</f>
        <v/>
      </c>
    </row>
    <row r="18">
      <c r="A18" s="9" t="inlineStr">
        <is>
          <t>Drifters Seafoam</t>
        </is>
      </c>
      <c r="B18" s="9" t="inlineStr">
        <is>
          <t>Drifters</t>
        </is>
      </c>
      <c r="C18" s="9" t="inlineStr">
        <is>
          <t>Light Green / Grey</t>
        </is>
      </c>
      <c r="D18" s="24" t="n">
        <v>32</v>
      </c>
      <c r="E18" s="25">
        <f>IF(A18="","",COGS!G18)</f>
        <v/>
      </c>
      <c r="F18" s="25">
        <f>IF(OR(A18="",E18=""),"",D18-E18)</f>
        <v/>
      </c>
      <c r="G18" s="26">
        <f>IF(OR(A18="",E18="",D18=0),"",(D18-E18)/D18)</f>
        <v/>
      </c>
    </row>
    <row r="19">
      <c r="A19" s="9" t="inlineStr">
        <is>
          <t>Drifters Storm Grey</t>
        </is>
      </c>
      <c r="B19" s="9" t="inlineStr">
        <is>
          <t>Drifters</t>
        </is>
      </c>
      <c r="C19" s="9" t="inlineStr">
        <is>
          <t>Grey</t>
        </is>
      </c>
      <c r="D19" s="24" t="n">
        <v>35</v>
      </c>
      <c r="E19" s="25">
        <f>IF(A19="","",COGS!G19)</f>
        <v/>
      </c>
      <c r="F19" s="25">
        <f>IF(OR(A19="",E19=""),"",D19-E19)</f>
        <v/>
      </c>
      <c r="G19" s="26">
        <f>IF(OR(A19="",E19="",D19=0),"",(D19-E19)/D19)</f>
        <v/>
      </c>
    </row>
    <row r="20">
      <c r="A20" s="9" t="inlineStr">
        <is>
          <t>The Currents</t>
        </is>
      </c>
      <c r="B20" s="9" t="inlineStr">
        <is>
          <t>The Currents</t>
        </is>
      </c>
      <c r="C20" s="9" t="inlineStr">
        <is>
          <t>Grey</t>
        </is>
      </c>
      <c r="D20" s="24" t="n">
        <v>35</v>
      </c>
      <c r="E20" s="25">
        <f>IF(A20="","",COGS!G20)</f>
        <v/>
      </c>
      <c r="F20" s="25">
        <f>IF(OR(A20="",E20=""),"",D20-E20)</f>
        <v/>
      </c>
      <c r="G20" s="26">
        <f>IF(OR(A20="",E20="",D20=0),"",(D20-E20)/D20)</f>
        <v/>
      </c>
    </row>
    <row r="21">
      <c r="A21" s="9" t="inlineStr">
        <is>
          <t>The Currents Deep Ocean</t>
        </is>
      </c>
      <c r="B21" s="9" t="inlineStr">
        <is>
          <t>The Currents</t>
        </is>
      </c>
      <c r="C21" s="9" t="inlineStr">
        <is>
          <t>Blue Mirror REVO</t>
        </is>
      </c>
      <c r="D21" s="24" t="n">
        <v>38</v>
      </c>
      <c r="E21" s="25">
        <f>IF(A21="","",COGS!G21)</f>
        <v/>
      </c>
      <c r="F21" s="25">
        <f>IF(OR(A21="",E21=""),"",D21-E21)</f>
        <v/>
      </c>
      <c r="G21" s="26">
        <f>IF(OR(A21="",E21="",D21=0),"",(D21-E21)/D21)</f>
        <v/>
      </c>
    </row>
    <row r="22">
      <c r="A22" s="9" t="inlineStr">
        <is>
          <t>The Currents Driftwood Sand</t>
        </is>
      </c>
      <c r="B22" s="9" t="inlineStr">
        <is>
          <t>The Currents</t>
        </is>
      </c>
      <c r="C22" s="9" t="inlineStr">
        <is>
          <t>Brown / Amber</t>
        </is>
      </c>
      <c r="D22" s="24" t="n">
        <v>40</v>
      </c>
      <c r="E22" s="25">
        <f>IF(A22="","",COGS!G22)</f>
        <v/>
      </c>
      <c r="F22" s="25">
        <f>IF(OR(A22="",E22=""),"",D22-E22)</f>
        <v/>
      </c>
      <c r="G22" s="26">
        <f>IF(OR(A22="",E22="",D22=0),"",(D22-E22)/D22)</f>
        <v/>
      </c>
    </row>
    <row r="23">
      <c r="A23" s="9" t="n"/>
      <c r="B23" s="9" t="n"/>
      <c r="C23" s="9" t="n"/>
      <c r="D23" s="24" t="n"/>
      <c r="E23" s="25">
        <f>IF(A23="","",COGS!G23)</f>
        <v/>
      </c>
      <c r="F23" s="25">
        <f>IF(OR(A23="",E23=""),"",D23-E23)</f>
        <v/>
      </c>
      <c r="G23" s="26">
        <f>IF(OR(A23="",E23="",D23=0),"",(D23-E23)/D23)</f>
        <v/>
      </c>
    </row>
    <row r="24">
      <c r="A24" s="9" t="n"/>
      <c r="B24" s="9" t="n"/>
      <c r="C24" s="9" t="n"/>
      <c r="D24" s="24" t="n"/>
      <c r="E24" s="25">
        <f>IF(A24="","",COGS!G24)</f>
        <v/>
      </c>
      <c r="F24" s="25">
        <f>IF(OR(A24="",E24=""),"",D24-E24)</f>
        <v/>
      </c>
      <c r="G24" s="26">
        <f>IF(OR(A24="",E24="",D24=0),"",(D24-E24)/D24)</f>
        <v/>
      </c>
    </row>
    <row r="25">
      <c r="A25" s="9" t="n"/>
      <c r="B25" s="9" t="n"/>
      <c r="C25" s="9" t="n"/>
      <c r="D25" s="24" t="n"/>
      <c r="E25" s="25">
        <f>IF(A25="","",COGS!G25)</f>
        <v/>
      </c>
      <c r="F25" s="25">
        <f>IF(OR(A25="",E25=""),"",D25-E25)</f>
        <v/>
      </c>
      <c r="G25" s="26">
        <f>IF(OR(A25="",E25="",D25=0),"",(D25-E25)/D25)</f>
        <v/>
      </c>
    </row>
    <row r="26">
      <c r="A26" s="9" t="n"/>
      <c r="B26" s="9" t="n"/>
      <c r="C26" s="9" t="n"/>
      <c r="D26" s="24" t="n"/>
      <c r="E26" s="25">
        <f>IF(A26="","",COGS!G26)</f>
        <v/>
      </c>
      <c r="F26" s="25">
        <f>IF(OR(A26="",E26=""),"",D26-E26)</f>
        <v/>
      </c>
      <c r="G26" s="26">
        <f>IF(OR(A26="",E26="",D26=0),"",(D26-E26)/D26)</f>
        <v/>
      </c>
    </row>
    <row r="27">
      <c r="A27" s="9" t="n"/>
      <c r="B27" s="9" t="n"/>
      <c r="C27" s="9" t="n"/>
      <c r="D27" s="24" t="n"/>
      <c r="E27" s="25">
        <f>IF(A27="","",COGS!G27)</f>
        <v/>
      </c>
      <c r="F27" s="25">
        <f>IF(OR(A27="",E27=""),"",D27-E27)</f>
        <v/>
      </c>
      <c r="G27" s="26">
        <f>IF(OR(A27="",E27="",D27=0),"",(D27-E27)/D27)</f>
        <v/>
      </c>
    </row>
    <row r="28">
      <c r="A28" s="9" t="n"/>
      <c r="B28" s="9" t="n"/>
      <c r="C28" s="9" t="n"/>
      <c r="D28" s="24" t="n"/>
      <c r="E28" s="25">
        <f>IF(A28="","",COGS!G28)</f>
        <v/>
      </c>
      <c r="F28" s="25">
        <f>IF(OR(A28="",E28=""),"",D28-E28)</f>
        <v/>
      </c>
      <c r="G28" s="26">
        <f>IF(OR(A28="",E28="",D28=0),"",(D28-E28)/D28)</f>
        <v/>
      </c>
    </row>
    <row r="29" ht="15.9" customHeight="1" s="69">
      <c r="B29" s="46" t="inlineStr">
        <is>
          <t>▼ KICKSTARTER REWARD TIERS &amp; BUNDLES — one row per reward on your campaign; they appear in every product dropdown</t>
        </is>
      </c>
      <c r="C29" s="47" t="n"/>
      <c r="D29" s="47" t="n"/>
      <c r="E29" s="47" t="n"/>
      <c r="F29" s="47" t="n"/>
      <c r="G29" s="47" t="n"/>
    </row>
    <row r="30">
      <c r="A30" s="48" t="inlineStr">
        <is>
          <t>Sticker Pack</t>
        </is>
      </c>
      <c r="B30" s="49" t="inlineStr">
        <is>
          <t>Kickstarter Reward</t>
        </is>
      </c>
      <c r="C30" s="67" t="inlineStr">
        <is>
          <t>BOYNT sticker pack</t>
        </is>
      </c>
      <c r="D30" s="50" t="n">
        <v>25</v>
      </c>
      <c r="E30" s="51" t="inlineStr">
        <is>
          <t>← REWARD TIERS: A = reward name exactly as it reads on Kickstarter,</t>
        </is>
      </c>
    </row>
    <row r="31" ht="43.2" customHeight="1" s="69">
      <c r="A31" s="48" t="inlineStr">
        <is>
          <t>First Wave (1 of Any Pair) + Shipping</t>
        </is>
      </c>
      <c r="B31" s="49" t="inlineStr">
        <is>
          <t>Kickstarter Reward</t>
        </is>
      </c>
      <c r="C31" s="67" t="inlineStr">
        <is>
          <t>1x any model (backer picks in survey) + shipping</t>
        </is>
      </c>
      <c r="D31" s="50" t="n">
        <v>50</v>
      </c>
      <c r="E31" s="51" t="inlineStr">
        <is>
          <t xml:space="preserve">   C = what's included (e.g. '1x Drifters Seafoam + 1x The Classics + stickers'),</t>
        </is>
      </c>
    </row>
    <row r="32" ht="43.2" customHeight="1" s="69">
      <c r="A32" s="48" t="inlineStr">
        <is>
          <t>Two Pairs - Mix &amp; Match + Shipping</t>
        </is>
      </c>
      <c r="B32" s="49" t="inlineStr">
        <is>
          <t>Kickstarter Reward</t>
        </is>
      </c>
      <c r="C32" s="67" t="inlineStr">
        <is>
          <t>2x any models (backer picks in survey) + shipping</t>
        </is>
      </c>
      <c r="D32" s="50" t="n">
        <v>100</v>
      </c>
      <c r="E32" s="51" t="inlineStr">
        <is>
          <t xml:space="preserve">   D = the pledge price. Cost/profit columns stay blank for rewards —</t>
        </is>
      </c>
    </row>
    <row r="33" ht="28.8" customHeight="1" s="69">
      <c r="A33" s="48" t="inlineStr">
        <is>
          <t>Founders Edition + Shipping + Bonus</t>
        </is>
      </c>
      <c r="B33" s="49" t="inlineStr">
        <is>
          <t>Kickstarter Reward</t>
        </is>
      </c>
      <c r="C33" s="67" t="inlineStr">
        <is>
          <t>Founders edition pair + shipping + bonus items</t>
        </is>
      </c>
      <c r="D33" s="50" t="n">
        <v>250</v>
      </c>
      <c r="E33" s="51" t="inlineStr">
        <is>
          <t xml:space="preserve">   their production cost lives with the individual products on the COGS tab.</t>
        </is>
      </c>
    </row>
    <row r="34" ht="28.8" customHeight="1" s="69">
      <c r="A34" s="48" t="inlineStr">
        <is>
          <t>Founder Delivers Edition</t>
        </is>
      </c>
      <c r="B34" s="49" t="inlineStr">
        <is>
          <t>Kickstarter Reward</t>
        </is>
      </c>
      <c r="C34" s="67" t="inlineStr">
        <is>
          <t>Founder hand-delivers the order</t>
        </is>
      </c>
      <c r="D34" s="50" t="n">
        <v>1500</v>
      </c>
    </row>
    <row r="35">
      <c r="A35" s="48" t="n"/>
      <c r="B35" s="49" t="inlineStr">
        <is>
          <t>Kickstarter Reward</t>
        </is>
      </c>
      <c r="C35" s="67" t="n"/>
      <c r="D35" s="50" t="n"/>
    </row>
    <row r="36">
      <c r="A36" s="48" t="n"/>
      <c r="B36" s="49" t="inlineStr">
        <is>
          <t>Kickstarter Reward</t>
        </is>
      </c>
      <c r="C36" s="67" t="n"/>
      <c r="D36" s="50" t="n"/>
    </row>
    <row r="37">
      <c r="A37" s="48" t="n"/>
      <c r="B37" s="49" t="inlineStr">
        <is>
          <t>Kickstarter Reward</t>
        </is>
      </c>
      <c r="C37" s="67" t="n"/>
      <c r="D37" s="50" t="n"/>
    </row>
    <row r="38">
      <c r="A38" s="48" t="n"/>
      <c r="B38" s="49" t="inlineStr">
        <is>
          <t>Kickstarter Reward</t>
        </is>
      </c>
      <c r="C38" s="67" t="n"/>
      <c r="D38" s="50" t="n"/>
    </row>
    <row r="39">
      <c r="A39" s="48" t="n"/>
      <c r="B39" s="49" t="inlineStr">
        <is>
          <t>Kickstarter Reward</t>
        </is>
      </c>
      <c r="C39" s="67" t="n"/>
      <c r="D39" s="50" t="n"/>
    </row>
    <row r="40">
      <c r="A40" s="48" t="n"/>
      <c r="B40" s="49" t="inlineStr">
        <is>
          <t>Kickstarter Reward</t>
        </is>
      </c>
      <c r="C40" s="67" t="n"/>
      <c r="D40" s="50" t="n"/>
    </row>
    <row r="41">
      <c r="A41" s="48" t="n"/>
      <c r="B41" s="49" t="inlineStr">
        <is>
          <t>Kickstarter Reward</t>
        </is>
      </c>
      <c r="C41" s="67" t="n"/>
      <c r="D41" s="50" t="n"/>
    </row>
  </sheetData>
  <mergeCells count="2">
    <mergeCell ref="A2:G2"/>
    <mergeCell ref="A1:G1"/>
  </mergeCells>
  <conditionalFormatting sqref="A14:D28">
    <cfRule type="expression" priority="1" dxfId="10">
      <formula>MOD(ROW(),2)=0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05B2E"/>
    <outlinePr summaryBelow="1" summaryRight="1"/>
    <pageSetUpPr/>
  </sheetPr>
  <dimension ref="A1:I29"/>
  <sheetViews>
    <sheetView workbookViewId="0">
      <pane xSplit="1" ySplit="13" topLeftCell="B14" activePane="bottomRight" state="frozen"/>
      <selection pane="topRight" activeCell="A1" sqref="A1"/>
      <selection pane="bottomLeft" activeCell="A1" sqref="A1"/>
      <selection pane="bottomRight" activeCell="F14" sqref="F14"/>
    </sheetView>
  </sheetViews>
  <sheetFormatPr baseColWidth="8" defaultRowHeight="14.4"/>
  <cols>
    <col width="34" customWidth="1" style="69" min="1" max="1"/>
    <col width="14" customWidth="1" style="69" min="2" max="2"/>
    <col width="12" customWidth="1" style="69" min="3" max="3"/>
    <col width="14" customWidth="1" style="69" min="4" max="4"/>
    <col width="13" customWidth="1" style="69" min="5" max="5"/>
    <col width="11" customWidth="1" style="69" min="6" max="6"/>
    <col width="15" customWidth="1" style="69" min="7" max="7"/>
    <col width="14" customWidth="1" style="69" min="8" max="9"/>
  </cols>
  <sheetData>
    <row r="1" ht="26.1" customHeight="1" s="69">
      <c r="A1" s="68" t="inlineStr">
        <is>
          <t>COGS — Cost of Goods Sold (what ONE pair costs you to make)</t>
        </is>
      </c>
    </row>
    <row r="2" ht="15.9" customHeight="1" s="69">
      <c r="A2" s="70" t="inlineStr">
        <is>
          <t>Break down the cost of producing a single pair of each model. This is where you find out your real profit.</t>
        </is>
      </c>
    </row>
    <row r="4" ht="14.1" customHeight="1" s="69">
      <c r="A4" s="12" t="inlineStr">
        <is>
          <t>WHAT THIS TAB IS FOR:  calculating your cost PER PAIR for each model, and your total production cost for the year.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 ht="14.1" customHeight="1" s="69">
      <c r="A5" s="13" t="inlineStr">
        <is>
          <t>WHAT GOES HERE:  in each white column, enter what ONE pair uses:  Frame Material (polypropylene/resin), Lenses,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 ht="14.1" customHeight="1" s="69">
      <c r="A6" s="13" t="inlineStr">
        <is>
          <t>Hinges &amp; Screws, Packaging (box, pouch, cloth), and Other (stickers, cards, thread...).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 ht="14.1" customHeight="1" s="69">
      <c r="A7" s="13" t="inlineStr">
        <is>
          <t>HOW TO GET PER-PAIR NUMBERS:  divide what you paid by how many pairs it covers. Example: $1,400 of screws that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 ht="14.1" customHeight="1" s="69">
      <c r="A8" s="13" t="inlineStr">
        <is>
          <t>covers 2,500 pairs = $0.56 per pair. A $3,300 packaging kit for 2,000 orders = $1.65 per pair.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 ht="14.1" customHeight="1" s="69">
      <c r="A9" s="13" t="inlineStr">
        <is>
          <t>WHAT DOES NOT GO HERE:  equipment (that's Capital) and general bills like insurance or your website (Operating Costs).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 ht="14.1" customHeight="1" s="69">
      <c r="A10" s="13" t="inlineStr">
        <is>
          <t>AUTOMATIC:  Product names sync from Products &amp; Pricing. Units Sold counts your Sales Log. Total COGS = cost × units.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1" ht="14.1" customHeight="1" s="69">
      <c r="A11" s="13" t="inlineStr">
        <is>
          <t>NOTE:  when you BUY materials, also log the purchase on Operating Costs (category: Materials &amp; Product Supplies)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 ht="14.1" customHeight="1" s="69">
      <c r="A12" s="13" t="inlineStr">
        <is>
          <t>so your cash tracking stays accurate. This tab is the per-unit math; that tab is the actual money leaving your pocket.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 ht="27.9" customHeight="1" s="69">
      <c r="A13" s="23" t="inlineStr">
        <is>
          <t>Product (auto)</t>
        </is>
      </c>
      <c r="B13" s="23" t="inlineStr">
        <is>
          <t>Frame Material $ /pair</t>
        </is>
      </c>
      <c r="C13" s="23" t="inlineStr">
        <is>
          <t>Lenses $ /pair</t>
        </is>
      </c>
      <c r="D13" s="23" t="inlineStr">
        <is>
          <t>Hinges &amp; Screws $ /pair</t>
        </is>
      </c>
      <c r="E13" s="23" t="inlineStr">
        <is>
          <t>Packaging $ /pair</t>
        </is>
      </c>
      <c r="F13" s="23" t="inlineStr">
        <is>
          <t>Other $ /pair</t>
        </is>
      </c>
      <c r="G13" s="23" t="inlineStr">
        <is>
          <t>TOTAL COST PER PAIR (auto)</t>
        </is>
      </c>
      <c r="H13" s="23" t="inlineStr">
        <is>
          <t>Units Sold (auto from Sales Log)</t>
        </is>
      </c>
      <c r="I13" s="23" t="inlineStr">
        <is>
          <t>Total COGS (auto)</t>
        </is>
      </c>
    </row>
    <row r="14">
      <c r="A14" s="27">
        <f>'Products &amp; Pricing'!A14&amp;""</f>
        <v/>
      </c>
      <c r="B14" s="24" t="n"/>
      <c r="C14" s="24" t="n"/>
      <c r="D14" s="24" t="n"/>
      <c r="E14" s="24" t="n"/>
      <c r="F14" s="24" t="n"/>
      <c r="G14" s="25">
        <f>IF(A14="","",N(B14)+N(C14)+N(D14)+N(E14)+N(F14))</f>
        <v/>
      </c>
      <c r="H14" s="28">
        <f>IF(A14="","",SUMIFS('Sales Log'!$E$14:$E$313,'Sales Log'!$D$14:$D$313,A14))</f>
        <v/>
      </c>
      <c r="I14" s="25">
        <f>IF(A14="","",N(G14)*N(H14))</f>
        <v/>
      </c>
    </row>
    <row r="15">
      <c r="A15" s="27">
        <f>'Products &amp; Pricing'!A15&amp;""</f>
        <v/>
      </c>
      <c r="B15" s="24" t="n"/>
      <c r="C15" s="24" t="n"/>
      <c r="D15" s="24" t="n"/>
      <c r="E15" s="24" t="n"/>
      <c r="F15" s="24" t="n"/>
      <c r="G15" s="25">
        <f>IF(A15="","",N(B15)+N(C15)+N(D15)+N(E15)+N(F15))</f>
        <v/>
      </c>
      <c r="H15" s="28">
        <f>IF(A15="","",SUMIFS('Sales Log'!$E$14:$E$313,'Sales Log'!$D$14:$D$313,A15))</f>
        <v/>
      </c>
      <c r="I15" s="25">
        <f>IF(A15="","",N(G15)*N(H15))</f>
        <v/>
      </c>
    </row>
    <row r="16">
      <c r="A16" s="27">
        <f>'Products &amp; Pricing'!A16&amp;""</f>
        <v/>
      </c>
      <c r="B16" s="24" t="n"/>
      <c r="C16" s="24" t="n"/>
      <c r="D16" s="24" t="n"/>
      <c r="E16" s="24" t="n"/>
      <c r="F16" s="24" t="n"/>
      <c r="G16" s="25">
        <f>IF(A16="","",N(B16)+N(C16)+N(D16)+N(E16)+N(F16))</f>
        <v/>
      </c>
      <c r="H16" s="28">
        <f>IF(A16="","",SUMIFS('Sales Log'!$E$14:$E$313,'Sales Log'!$D$14:$D$313,A16))</f>
        <v/>
      </c>
      <c r="I16" s="25">
        <f>IF(A16="","",N(G16)*N(H16))</f>
        <v/>
      </c>
    </row>
    <row r="17">
      <c r="A17" s="27">
        <f>'Products &amp; Pricing'!A17&amp;""</f>
        <v/>
      </c>
      <c r="B17" s="24" t="n"/>
      <c r="C17" s="24" t="n"/>
      <c r="D17" s="24" t="n"/>
      <c r="E17" s="24" t="n"/>
      <c r="F17" s="24" t="n"/>
      <c r="G17" s="25">
        <f>IF(A17="","",N(B17)+N(C17)+N(D17)+N(E17)+N(F17))</f>
        <v/>
      </c>
      <c r="H17" s="28">
        <f>IF(A17="","",SUMIFS('Sales Log'!$E$14:$E$313,'Sales Log'!$D$14:$D$313,A17))</f>
        <v/>
      </c>
      <c r="I17" s="25">
        <f>IF(A17="","",N(G17)*N(H17))</f>
        <v/>
      </c>
    </row>
    <row r="18">
      <c r="A18" s="27">
        <f>'Products &amp; Pricing'!A18&amp;""</f>
        <v/>
      </c>
      <c r="B18" s="24" t="n"/>
      <c r="C18" s="24" t="n"/>
      <c r="D18" s="24" t="n"/>
      <c r="E18" s="24" t="n"/>
      <c r="F18" s="24" t="n"/>
      <c r="G18" s="25">
        <f>IF(A18="","",N(B18)+N(C18)+N(D18)+N(E18)+N(F18))</f>
        <v/>
      </c>
      <c r="H18" s="28">
        <f>IF(A18="","",SUMIFS('Sales Log'!$E$14:$E$313,'Sales Log'!$D$14:$D$313,A18))</f>
        <v/>
      </c>
      <c r="I18" s="25">
        <f>IF(A18="","",N(G18)*N(H18))</f>
        <v/>
      </c>
    </row>
    <row r="19">
      <c r="A19" s="27">
        <f>'Products &amp; Pricing'!A19&amp;""</f>
        <v/>
      </c>
      <c r="B19" s="24" t="n"/>
      <c r="C19" s="24" t="n"/>
      <c r="D19" s="24" t="n"/>
      <c r="E19" s="24" t="n"/>
      <c r="F19" s="24" t="n"/>
      <c r="G19" s="25">
        <f>IF(A19="","",N(B19)+N(C19)+N(D19)+N(E19)+N(F19))</f>
        <v/>
      </c>
      <c r="H19" s="28">
        <f>IF(A19="","",SUMIFS('Sales Log'!$E$14:$E$313,'Sales Log'!$D$14:$D$313,A19))</f>
        <v/>
      </c>
      <c r="I19" s="25">
        <f>IF(A19="","",N(G19)*N(H19))</f>
        <v/>
      </c>
    </row>
    <row r="20">
      <c r="A20" s="27">
        <f>'Products &amp; Pricing'!A20&amp;""</f>
        <v/>
      </c>
      <c r="B20" s="24" t="n"/>
      <c r="C20" s="24" t="n"/>
      <c r="D20" s="24" t="n"/>
      <c r="E20" s="24" t="n"/>
      <c r="F20" s="24" t="n"/>
      <c r="G20" s="25">
        <f>IF(A20="","",N(B20)+N(C20)+N(D20)+N(E20)+N(F20))</f>
        <v/>
      </c>
      <c r="H20" s="28">
        <f>IF(A20="","",SUMIFS('Sales Log'!$E$14:$E$313,'Sales Log'!$D$14:$D$313,A20))</f>
        <v/>
      </c>
      <c r="I20" s="25">
        <f>IF(A20="","",N(G20)*N(H20))</f>
        <v/>
      </c>
    </row>
    <row r="21">
      <c r="A21" s="27">
        <f>'Products &amp; Pricing'!A21&amp;""</f>
        <v/>
      </c>
      <c r="B21" s="24" t="n"/>
      <c r="C21" s="24" t="n"/>
      <c r="D21" s="24" t="n"/>
      <c r="E21" s="24" t="n"/>
      <c r="F21" s="24" t="n"/>
      <c r="G21" s="25">
        <f>IF(A21="","",N(B21)+N(C21)+N(D21)+N(E21)+N(F21))</f>
        <v/>
      </c>
      <c r="H21" s="28">
        <f>IF(A21="","",SUMIFS('Sales Log'!$E$14:$E$313,'Sales Log'!$D$14:$D$313,A21))</f>
        <v/>
      </c>
      <c r="I21" s="25">
        <f>IF(A21="","",N(G21)*N(H21))</f>
        <v/>
      </c>
    </row>
    <row r="22">
      <c r="A22" s="27">
        <f>'Products &amp; Pricing'!A22&amp;""</f>
        <v/>
      </c>
      <c r="B22" s="24" t="n"/>
      <c r="C22" s="24" t="n"/>
      <c r="D22" s="24" t="n"/>
      <c r="E22" s="24" t="n"/>
      <c r="F22" s="24" t="n"/>
      <c r="G22" s="25">
        <f>IF(A22="","",N(B22)+N(C22)+N(D22)+N(E22)+N(F22))</f>
        <v/>
      </c>
      <c r="H22" s="28">
        <f>IF(A22="","",SUMIFS('Sales Log'!$E$14:$E$313,'Sales Log'!$D$14:$D$313,A22))</f>
        <v/>
      </c>
      <c r="I22" s="25">
        <f>IF(A22="","",N(G22)*N(H22))</f>
        <v/>
      </c>
    </row>
    <row r="23">
      <c r="A23" s="27">
        <f>'Products &amp; Pricing'!A23&amp;""</f>
        <v/>
      </c>
      <c r="B23" s="24" t="n"/>
      <c r="C23" s="24" t="n"/>
      <c r="D23" s="24" t="n"/>
      <c r="E23" s="24" t="n"/>
      <c r="F23" s="24" t="n"/>
      <c r="G23" s="25">
        <f>IF(A23="","",N(B23)+N(C23)+N(D23)+N(E23)+N(F23))</f>
        <v/>
      </c>
      <c r="H23" s="28">
        <f>IF(A23="","",SUMIFS('Sales Log'!$E$14:$E$313,'Sales Log'!$D$14:$D$313,A23))</f>
        <v/>
      </c>
      <c r="I23" s="25">
        <f>IF(A23="","",N(G23)*N(H23))</f>
        <v/>
      </c>
    </row>
    <row r="24">
      <c r="A24" s="27">
        <f>'Products &amp; Pricing'!A24&amp;""</f>
        <v/>
      </c>
      <c r="B24" s="24" t="n"/>
      <c r="C24" s="24" t="n"/>
      <c r="D24" s="24" t="n"/>
      <c r="E24" s="24" t="n"/>
      <c r="F24" s="24" t="n"/>
      <c r="G24" s="25">
        <f>IF(A24="","",N(B24)+N(C24)+N(D24)+N(E24)+N(F24))</f>
        <v/>
      </c>
      <c r="H24" s="28">
        <f>IF(A24="","",SUMIFS('Sales Log'!$E$14:$E$313,'Sales Log'!$D$14:$D$313,A24))</f>
        <v/>
      </c>
      <c r="I24" s="25">
        <f>IF(A24="","",N(G24)*N(H24))</f>
        <v/>
      </c>
    </row>
    <row r="25">
      <c r="A25" s="27">
        <f>'Products &amp; Pricing'!A25&amp;""</f>
        <v/>
      </c>
      <c r="B25" s="24" t="n"/>
      <c r="C25" s="24" t="n"/>
      <c r="D25" s="24" t="n"/>
      <c r="E25" s="24" t="n"/>
      <c r="F25" s="24" t="n"/>
      <c r="G25" s="25">
        <f>IF(A25="","",N(B25)+N(C25)+N(D25)+N(E25)+N(F25))</f>
        <v/>
      </c>
      <c r="H25" s="28">
        <f>IF(A25="","",SUMIFS('Sales Log'!$E$14:$E$313,'Sales Log'!$D$14:$D$313,A25))</f>
        <v/>
      </c>
      <c r="I25" s="25">
        <f>IF(A25="","",N(G25)*N(H25))</f>
        <v/>
      </c>
    </row>
    <row r="26">
      <c r="A26" s="27">
        <f>'Products &amp; Pricing'!A26&amp;""</f>
        <v/>
      </c>
      <c r="B26" s="24" t="n"/>
      <c r="C26" s="24" t="n"/>
      <c r="D26" s="24" t="n"/>
      <c r="E26" s="24" t="n"/>
      <c r="F26" s="24" t="n"/>
      <c r="G26" s="25">
        <f>IF(A26="","",N(B26)+N(C26)+N(D26)+N(E26)+N(F26))</f>
        <v/>
      </c>
      <c r="H26" s="28">
        <f>IF(A26="","",SUMIFS('Sales Log'!$E$14:$E$313,'Sales Log'!$D$14:$D$313,A26))</f>
        <v/>
      </c>
      <c r="I26" s="25">
        <f>IF(A26="","",N(G26)*N(H26))</f>
        <v/>
      </c>
    </row>
    <row r="27">
      <c r="A27" s="27">
        <f>'Products &amp; Pricing'!A27&amp;""</f>
        <v/>
      </c>
      <c r="B27" s="24" t="n"/>
      <c r="C27" s="24" t="n"/>
      <c r="D27" s="24" t="n"/>
      <c r="E27" s="24" t="n"/>
      <c r="F27" s="24" t="n"/>
      <c r="G27" s="25">
        <f>IF(A27="","",N(B27)+N(C27)+N(D27)+N(E27)+N(F27))</f>
        <v/>
      </c>
      <c r="H27" s="28">
        <f>IF(A27="","",SUMIFS('Sales Log'!$E$14:$E$313,'Sales Log'!$D$14:$D$313,A27))</f>
        <v/>
      </c>
      <c r="I27" s="25">
        <f>IF(A27="","",N(G27)*N(H27))</f>
        <v/>
      </c>
    </row>
    <row r="28">
      <c r="A28" s="27">
        <f>'Products &amp; Pricing'!A28&amp;""</f>
        <v/>
      </c>
      <c r="B28" s="24" t="n"/>
      <c r="C28" s="24" t="n"/>
      <c r="D28" s="24" t="n"/>
      <c r="E28" s="24" t="n"/>
      <c r="F28" s="24" t="n"/>
      <c r="G28" s="25">
        <f>IF(A28="","",N(B28)+N(C28)+N(D28)+N(E28)+N(F28))</f>
        <v/>
      </c>
      <c r="H28" s="28">
        <f>IF(A28="","",SUMIFS('Sales Log'!$E$14:$E$313,'Sales Log'!$D$14:$D$313,A28))</f>
        <v/>
      </c>
      <c r="I28" s="25">
        <f>IF(A28="","",N(G28)*N(H28))</f>
        <v/>
      </c>
    </row>
    <row r="29">
      <c r="A29" s="29" t="inlineStr">
        <is>
          <t>TOTAL</t>
        </is>
      </c>
      <c r="B29" s="29" t="n"/>
      <c r="C29" s="29" t="n"/>
      <c r="D29" s="29" t="n"/>
      <c r="E29" s="29" t="n"/>
      <c r="F29" s="29" t="n"/>
      <c r="G29" s="29" t="n"/>
      <c r="H29" s="30">
        <f>SUM(H14:H28)</f>
        <v/>
      </c>
      <c r="I29" s="31">
        <f>SUM(I14:I28)</f>
        <v/>
      </c>
    </row>
  </sheetData>
  <mergeCells count="2">
    <mergeCell ref="A1:I1"/>
    <mergeCell ref="A2:I2"/>
  </mergeCells>
  <conditionalFormatting sqref="B14:F28">
    <cfRule type="expression" priority="1" dxfId="10">
      <formula>MOD(ROW(),2)=0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23A3A"/>
    <outlinePr summaryBelow="1" summaryRight="1"/>
    <pageSetUpPr/>
  </sheetPr>
  <dimension ref="A1:H64"/>
  <sheetViews>
    <sheetView zoomScale="80" zoomScaleNormal="80" workbookViewId="0">
      <pane ySplit="13" topLeftCell="A14" activePane="bottomLeft" state="frozen"/>
      <selection pane="bottomLeft" activeCell="H17" sqref="H17"/>
    </sheetView>
  </sheetViews>
  <sheetFormatPr baseColWidth="8" defaultRowHeight="14.4"/>
  <cols>
    <col width="5" customWidth="1" style="69" min="1" max="1"/>
    <col width="36" customWidth="1" style="69" min="2" max="2"/>
    <col width="16" customWidth="1" style="69" min="3" max="3"/>
    <col width="40" customWidth="1" style="69" min="4" max="4"/>
    <col width="24.44140625" customWidth="1" style="69" min="5" max="5"/>
    <col width="12" customWidth="1" style="69" min="6" max="6"/>
    <col width="13" customWidth="1" style="69" min="7" max="7"/>
    <col width="26" customWidth="1" style="69" min="8" max="8"/>
  </cols>
  <sheetData>
    <row r="1" ht="26.1" customHeight="1" s="69">
      <c r="A1" s="68" t="inlineStr">
        <is>
          <t>Capital — One-Time Startup Equipment</t>
        </is>
      </c>
    </row>
    <row r="2" ht="15.9" customHeight="1" s="69">
      <c r="A2" s="70" t="inlineStr">
        <is>
          <t>Big things you buy ONCE to get BOYNT running: printers, molding machines, tools, legal filings.</t>
        </is>
      </c>
    </row>
    <row r="4" ht="14.1" customHeight="1" s="69">
      <c r="A4" s="12" t="inlineStr">
        <is>
          <t>WHAT THIS TAB IS FOR:  tracking every one-time startup purchase and how much of your capital budget is spent.</t>
        </is>
      </c>
      <c r="B4" s="6" t="n"/>
      <c r="C4" s="6" t="n"/>
      <c r="D4" s="6" t="n"/>
      <c r="E4" s="6" t="n"/>
      <c r="F4" s="6" t="n"/>
      <c r="G4" s="6" t="n"/>
      <c r="H4" s="6" t="n"/>
    </row>
    <row r="5" ht="14.1" customHeight="1" s="69">
      <c r="A5" s="13" t="inlineStr">
        <is>
          <t>WHAT GOES HERE:  equipment and setup items — 3D printer, injection molding machine, tools, LLC filing, trademarks,</t>
        </is>
      </c>
      <c r="B5" s="6" t="n"/>
      <c r="C5" s="6" t="n"/>
      <c r="D5" s="6" t="n"/>
      <c r="E5" s="6" t="n"/>
      <c r="F5" s="6" t="n"/>
      <c r="G5" s="6" t="n"/>
      <c r="H5" s="6" t="n"/>
    </row>
    <row r="6" ht="14.1" customHeight="1" s="69">
      <c r="A6" s="13" t="inlineStr">
        <is>
          <t>computers, shelving. If you'll buy it once and use it for years, it belongs here.</t>
        </is>
      </c>
      <c r="B6" s="6" t="n"/>
      <c r="C6" s="6" t="n"/>
      <c r="D6" s="6" t="n"/>
      <c r="E6" s="6" t="n"/>
      <c r="F6" s="6" t="n"/>
      <c r="G6" s="6" t="n"/>
      <c r="H6" s="6" t="n"/>
    </row>
    <row r="7" ht="14.1" customHeight="1" s="69">
      <c r="A7" s="13" t="inlineStr">
        <is>
          <t>WHAT DOES NOT GO HERE:  materials that go INTO the product (COGS tab / Operating Costs) or recurring bills (Operating Costs).</t>
        </is>
      </c>
      <c r="B7" s="6" t="n"/>
      <c r="C7" s="6" t="n"/>
      <c r="D7" s="6" t="n"/>
      <c r="E7" s="6" t="n"/>
      <c r="F7" s="6" t="n"/>
      <c r="G7" s="6" t="n"/>
      <c r="H7" s="6" t="n"/>
    </row>
    <row r="8" ht="14.1" customHeight="1" s="69">
      <c r="A8" s="13" t="inlineStr">
        <is>
          <t>HOW TO USE IT:  one row per item. Paste the vendor link so you can reorder. Set Status:  Planned = still shopping,</t>
        </is>
      </c>
      <c r="B8" s="6" t="n"/>
      <c r="C8" s="6" t="n"/>
      <c r="D8" s="6" t="n"/>
      <c r="E8" s="6" t="n"/>
      <c r="F8" s="6" t="n"/>
      <c r="G8" s="6" t="n"/>
      <c r="H8" s="6" t="n"/>
    </row>
    <row r="9" ht="14.1" customHeight="1" s="69">
      <c r="A9" s="13" t="inlineStr">
        <is>
          <t>Ordered = money committed, Received = it's in your hands. Only enter Date Purchased when money actually leaves your</t>
        </is>
      </c>
      <c r="B9" s="6" t="n"/>
      <c r="C9" s="6" t="n"/>
      <c r="D9" s="6" t="n"/>
      <c r="E9" s="6" t="n"/>
      <c r="F9" s="6" t="n"/>
      <c r="G9" s="6" t="n"/>
      <c r="H9" s="6" t="n"/>
    </row>
    <row r="10" ht="14.1" customHeight="1" s="69">
      <c r="A10" s="13" t="inlineStr">
        <is>
          <t>account — that's what tells the Dashboard and Monthly Cash Flow the money is really spent.</t>
        </is>
      </c>
      <c r="B10" s="6" t="n"/>
      <c r="C10" s="6" t="n"/>
      <c r="D10" s="6" t="n"/>
      <c r="E10" s="6" t="n"/>
      <c r="F10" s="6" t="n"/>
      <c r="G10" s="6" t="n"/>
      <c r="H10" s="6" t="n"/>
    </row>
    <row r="12">
      <c r="B12" s="3" t="inlineStr">
        <is>
          <t>Total planned (not yet bought):</t>
        </is>
      </c>
      <c r="C12" s="32">
        <f>SUMIFS(G14:G63,F14:F63,"Planned")</f>
        <v/>
      </c>
      <c r="E12" s="3" t="inlineStr">
        <is>
          <t>Total spent (dated rows):</t>
        </is>
      </c>
      <c r="F12" s="33">
        <f>SUMIFS(G14:G63,E14:E63,"&gt;0")</f>
        <v/>
      </c>
    </row>
    <row r="13" ht="27.9" customHeight="1" s="69">
      <c r="A13" s="23" t="inlineStr">
        <is>
          <t>#</t>
        </is>
      </c>
      <c r="B13" s="23" t="inlineStr">
        <is>
          <t>Item</t>
        </is>
      </c>
      <c r="C13" s="23" t="inlineStr">
        <is>
          <t>Category</t>
        </is>
      </c>
      <c r="D13" s="23" t="inlineStr">
        <is>
          <t>Vendor / Link</t>
        </is>
      </c>
      <c r="E13" s="23" t="inlineStr">
        <is>
          <t>Date Purchased</t>
        </is>
      </c>
      <c r="F13" s="23" t="inlineStr">
        <is>
          <t>Status</t>
        </is>
      </c>
      <c r="G13" s="23" t="inlineStr">
        <is>
          <t>Cost</t>
        </is>
      </c>
      <c r="H13" s="23" t="inlineStr">
        <is>
          <t>Notes</t>
        </is>
      </c>
    </row>
    <row r="14" ht="45" customHeight="1" s="69">
      <c r="A14" s="34" t="n">
        <v>1</v>
      </c>
      <c r="B14" s="9" t="inlineStr">
        <is>
          <t>Frame desgins</t>
        </is>
      </c>
      <c r="C14" s="9" t="inlineStr">
        <is>
          <t>Equipment</t>
        </is>
      </c>
      <c r="D14" s="9" t="inlineStr">
        <is>
          <t>Nikola from Fiver</t>
        </is>
      </c>
      <c r="E14" s="44" t="n">
        <v>46183</v>
      </c>
      <c r="F14" s="9" t="inlineStr">
        <is>
          <t>Received</t>
        </is>
      </c>
      <c r="G14" s="24" t="n">
        <v>335.48</v>
      </c>
      <c r="H14" s="45" t="inlineStr">
        <is>
          <t>Nikola was very helpful with anything that was needed.</t>
        </is>
      </c>
    </row>
    <row r="15">
      <c r="A15" s="34" t="n">
        <v>2</v>
      </c>
      <c r="B15" s="9" t="inlineStr">
        <is>
          <t>Sticker Desgin</t>
        </is>
      </c>
      <c r="C15" s="9" t="inlineStr">
        <is>
          <t>Other</t>
        </is>
      </c>
      <c r="D15" s="9" t="inlineStr">
        <is>
          <t>Hanna made desgins</t>
        </is>
      </c>
      <c r="E15" s="35" t="n">
        <v>46188</v>
      </c>
      <c r="F15" s="9" t="inlineStr">
        <is>
          <t>Received</t>
        </is>
      </c>
      <c r="G15" s="24" t="n">
        <v>50</v>
      </c>
      <c r="H15" s="9" t="n"/>
    </row>
    <row r="16">
      <c r="A16" s="34" t="n">
        <v>3</v>
      </c>
      <c r="B16" s="9" t="inlineStr">
        <is>
          <t>LLC Filling</t>
        </is>
      </c>
      <c r="C16" s="9" t="inlineStr">
        <is>
          <t>Legal &amp; Filing</t>
        </is>
      </c>
      <c r="D16" s="9" t="inlineStr">
        <is>
          <t>Pa state business</t>
        </is>
      </c>
      <c r="E16" s="35" t="n">
        <v>46196</v>
      </c>
      <c r="F16" s="9" t="inlineStr">
        <is>
          <t>Received</t>
        </is>
      </c>
      <c r="G16" s="24" t="n">
        <v>125</v>
      </c>
      <c r="H16" s="9" t="n"/>
    </row>
    <row r="17">
      <c r="A17" s="34" t="n">
        <v>4</v>
      </c>
      <c r="B17" s="9" t="inlineStr">
        <is>
          <t>Trademark</t>
        </is>
      </c>
      <c r="C17" s="9" t="inlineStr">
        <is>
          <t>Legal &amp; Filing</t>
        </is>
      </c>
      <c r="D17" s="9" t="inlineStr">
        <is>
          <t>National Trademark site</t>
        </is>
      </c>
      <c r="E17" s="35" t="n">
        <v>46197</v>
      </c>
      <c r="F17" s="9" t="inlineStr">
        <is>
          <t>Received</t>
        </is>
      </c>
      <c r="G17" s="24" t="n">
        <v>350</v>
      </c>
      <c r="H17" s="9" t="n"/>
    </row>
    <row r="18">
      <c r="A18" s="34">
        <f>IF(B18="","",ROW()-13)</f>
        <v/>
      </c>
      <c r="B18" s="9" t="n"/>
      <c r="C18" s="9" t="n"/>
      <c r="D18" s="9" t="n"/>
      <c r="E18" s="35" t="n"/>
      <c r="F18" s="9" t="n"/>
      <c r="G18" s="24" t="n"/>
      <c r="H18" s="9" t="n"/>
    </row>
    <row r="19">
      <c r="A19" s="34">
        <f>IF(B19="","",ROW()-13)</f>
        <v/>
      </c>
      <c r="B19" s="9" t="n"/>
      <c r="C19" s="9" t="n"/>
      <c r="D19" s="9" t="n"/>
      <c r="E19" s="35" t="n"/>
      <c r="F19" s="9" t="n"/>
      <c r="G19" s="24" t="n"/>
      <c r="H19" s="9" t="n"/>
    </row>
    <row r="20">
      <c r="A20" s="34">
        <f>IF(B20="","",ROW()-13)</f>
        <v/>
      </c>
      <c r="B20" s="9" t="n"/>
      <c r="C20" s="9" t="n"/>
      <c r="D20" s="9" t="n"/>
      <c r="E20" s="35" t="n"/>
      <c r="F20" s="9" t="n"/>
      <c r="G20" s="24" t="n"/>
      <c r="H20" s="9" t="n"/>
    </row>
    <row r="21">
      <c r="A21" s="34">
        <f>IF(B21="","",ROW()-13)</f>
        <v/>
      </c>
      <c r="B21" s="9" t="n"/>
      <c r="C21" s="9" t="n"/>
      <c r="D21" s="9" t="n"/>
      <c r="E21" s="35" t="n"/>
      <c r="F21" s="9" t="n"/>
      <c r="G21" s="24" t="n"/>
      <c r="H21" s="9" t="n"/>
    </row>
    <row r="22">
      <c r="A22" s="34">
        <f>IF(B22="","",ROW()-13)</f>
        <v/>
      </c>
      <c r="B22" s="9" t="n"/>
      <c r="C22" s="9" t="n"/>
      <c r="D22" s="9" t="n"/>
      <c r="E22" s="35" t="n"/>
      <c r="F22" s="9" t="n"/>
      <c r="G22" s="24" t="n"/>
      <c r="H22" s="9" t="n"/>
    </row>
    <row r="23">
      <c r="A23" s="34">
        <f>IF(B23="","",ROW()-13)</f>
        <v/>
      </c>
      <c r="B23" s="9" t="n"/>
      <c r="C23" s="9" t="n"/>
      <c r="D23" s="9" t="n"/>
      <c r="E23" s="35" t="n"/>
      <c r="F23" s="9" t="n"/>
      <c r="G23" s="24" t="n"/>
      <c r="H23" s="9" t="n"/>
    </row>
    <row r="24">
      <c r="A24" s="34">
        <f>IF(B24="","",ROW()-13)</f>
        <v/>
      </c>
      <c r="B24" s="9" t="n"/>
      <c r="C24" s="9" t="n"/>
      <c r="D24" s="9" t="n"/>
      <c r="E24" s="35" t="n"/>
      <c r="F24" s="9" t="n"/>
      <c r="G24" s="24" t="n"/>
      <c r="H24" s="9" t="n"/>
    </row>
    <row r="25">
      <c r="A25" s="34">
        <f>IF(B25="","",ROW()-13)</f>
        <v/>
      </c>
      <c r="B25" s="9" t="n"/>
      <c r="C25" s="9" t="n"/>
      <c r="D25" s="9" t="n"/>
      <c r="E25" s="35" t="n"/>
      <c r="F25" s="9" t="n"/>
      <c r="G25" s="24" t="n"/>
      <c r="H25" s="9" t="n"/>
    </row>
    <row r="26">
      <c r="A26" s="34">
        <f>IF(B26="","",ROW()-13)</f>
        <v/>
      </c>
      <c r="B26" s="9" t="n"/>
      <c r="C26" s="9" t="n"/>
      <c r="D26" s="9" t="n"/>
      <c r="E26" s="35" t="n"/>
      <c r="F26" s="9" t="n"/>
      <c r="G26" s="24" t="n"/>
      <c r="H26" s="9" t="n"/>
    </row>
    <row r="27">
      <c r="A27" s="34">
        <f>IF(B27="","",ROW()-13)</f>
        <v/>
      </c>
      <c r="B27" s="9" t="n"/>
      <c r="C27" s="9" t="n"/>
      <c r="D27" s="9" t="n"/>
      <c r="E27" s="35" t="n"/>
      <c r="F27" s="9" t="n"/>
      <c r="G27" s="24" t="n"/>
      <c r="H27" s="9" t="n"/>
    </row>
    <row r="28">
      <c r="A28" s="34">
        <f>IF(B28="","",ROW()-13)</f>
        <v/>
      </c>
      <c r="B28" s="9" t="n"/>
      <c r="C28" s="9" t="n"/>
      <c r="D28" s="9" t="n"/>
      <c r="E28" s="35" t="n"/>
      <c r="F28" s="9" t="n"/>
      <c r="G28" s="24" t="n"/>
      <c r="H28" s="9" t="n"/>
    </row>
    <row r="29">
      <c r="A29" s="34">
        <f>IF(B29="","",ROW()-13)</f>
        <v/>
      </c>
      <c r="B29" s="9" t="n"/>
      <c r="C29" s="9" t="n"/>
      <c r="D29" s="9" t="n"/>
      <c r="E29" s="35" t="n"/>
      <c r="F29" s="9" t="n"/>
      <c r="G29" s="24" t="n"/>
      <c r="H29" s="9" t="n"/>
    </row>
    <row r="30">
      <c r="A30" s="34">
        <f>IF(B30="","",ROW()-13)</f>
        <v/>
      </c>
      <c r="B30" s="9" t="n"/>
      <c r="C30" s="9" t="n"/>
      <c r="D30" s="9" t="n"/>
      <c r="E30" s="35" t="n"/>
      <c r="F30" s="9" t="n"/>
      <c r="G30" s="24" t="n"/>
      <c r="H30" s="9" t="n"/>
    </row>
    <row r="31">
      <c r="A31" s="34">
        <f>IF(B31="","",ROW()-13)</f>
        <v/>
      </c>
      <c r="B31" s="9" t="n"/>
      <c r="C31" s="9" t="n"/>
      <c r="D31" s="9" t="n"/>
      <c r="E31" s="35" t="n"/>
      <c r="F31" s="9" t="n"/>
      <c r="G31" s="24" t="n"/>
      <c r="H31" s="9" t="n"/>
    </row>
    <row r="32">
      <c r="A32" s="34">
        <f>IF(B32="","",ROW()-13)</f>
        <v/>
      </c>
      <c r="B32" s="9" t="n"/>
      <c r="C32" s="9" t="n"/>
      <c r="D32" s="9" t="n"/>
      <c r="E32" s="35" t="n"/>
      <c r="F32" s="9" t="n"/>
      <c r="G32" s="24" t="n"/>
      <c r="H32" s="9" t="n"/>
    </row>
    <row r="33">
      <c r="A33" s="34">
        <f>IF(B33="","",ROW()-13)</f>
        <v/>
      </c>
      <c r="B33" s="9" t="n"/>
      <c r="C33" s="9" t="n"/>
      <c r="D33" s="9" t="n"/>
      <c r="E33" s="35" t="n"/>
      <c r="F33" s="9" t="n"/>
      <c r="G33" s="24" t="n"/>
      <c r="H33" s="9" t="n"/>
    </row>
    <row r="34">
      <c r="A34" s="34">
        <f>IF(B34="","",ROW()-13)</f>
        <v/>
      </c>
      <c r="B34" s="9" t="n"/>
      <c r="C34" s="9" t="n"/>
      <c r="D34" s="9" t="n"/>
      <c r="E34" s="35" t="n"/>
      <c r="F34" s="9" t="n"/>
      <c r="G34" s="24" t="n"/>
      <c r="H34" s="9" t="n"/>
    </row>
    <row r="35">
      <c r="A35" s="34">
        <f>IF(B35="","",ROW()-13)</f>
        <v/>
      </c>
      <c r="B35" s="9" t="n"/>
      <c r="C35" s="9" t="n"/>
      <c r="D35" s="9" t="n"/>
      <c r="E35" s="35" t="n"/>
      <c r="F35" s="9" t="n"/>
      <c r="G35" s="24" t="n"/>
      <c r="H35" s="9" t="n"/>
    </row>
    <row r="36">
      <c r="A36" s="34">
        <f>IF(B36="","",ROW()-13)</f>
        <v/>
      </c>
      <c r="B36" s="9" t="n"/>
      <c r="C36" s="9" t="n"/>
      <c r="D36" s="9" t="n"/>
      <c r="E36" s="35" t="n"/>
      <c r="F36" s="9" t="n"/>
      <c r="G36" s="24" t="n"/>
      <c r="H36" s="9" t="n"/>
    </row>
    <row r="37">
      <c r="A37" s="34">
        <f>IF(B37="","",ROW()-13)</f>
        <v/>
      </c>
      <c r="B37" s="9" t="n"/>
      <c r="C37" s="9" t="n"/>
      <c r="D37" s="9" t="n"/>
      <c r="E37" s="35" t="n"/>
      <c r="F37" s="9" t="n"/>
      <c r="G37" s="24" t="n"/>
      <c r="H37" s="9" t="n"/>
    </row>
    <row r="38">
      <c r="A38" s="34">
        <f>IF(B38="","",ROW()-13)</f>
        <v/>
      </c>
      <c r="B38" s="9" t="n"/>
      <c r="C38" s="9" t="n"/>
      <c r="D38" s="9" t="n"/>
      <c r="E38" s="35" t="n"/>
      <c r="F38" s="9" t="n"/>
      <c r="G38" s="24" t="n"/>
      <c r="H38" s="9" t="n"/>
    </row>
    <row r="39">
      <c r="A39" s="34">
        <f>IF(B39="","",ROW()-13)</f>
        <v/>
      </c>
      <c r="B39" s="9" t="n"/>
      <c r="C39" s="9" t="n"/>
      <c r="D39" s="9" t="n"/>
      <c r="E39" s="35" t="n"/>
      <c r="F39" s="9" t="n"/>
      <c r="G39" s="24" t="n"/>
      <c r="H39" s="9" t="n"/>
    </row>
    <row r="40">
      <c r="A40" s="34">
        <f>IF(B40="","",ROW()-13)</f>
        <v/>
      </c>
      <c r="B40" s="9" t="n"/>
      <c r="C40" s="9" t="n"/>
      <c r="D40" s="9" t="n"/>
      <c r="E40" s="35" t="n"/>
      <c r="F40" s="9" t="n"/>
      <c r="G40" s="24" t="n"/>
      <c r="H40" s="9" t="n"/>
    </row>
    <row r="41">
      <c r="A41" s="34">
        <f>IF(B41="","",ROW()-13)</f>
        <v/>
      </c>
      <c r="B41" s="9" t="n"/>
      <c r="C41" s="9" t="n"/>
      <c r="D41" s="9" t="n"/>
      <c r="E41" s="35" t="n"/>
      <c r="F41" s="9" t="n"/>
      <c r="G41" s="24" t="n"/>
      <c r="H41" s="9" t="n"/>
    </row>
    <row r="42">
      <c r="A42" s="34">
        <f>IF(B42="","",ROW()-13)</f>
        <v/>
      </c>
      <c r="B42" s="9" t="n"/>
      <c r="C42" s="9" t="n"/>
      <c r="D42" s="9" t="n"/>
      <c r="E42" s="35" t="n"/>
      <c r="F42" s="9" t="n"/>
      <c r="G42" s="24" t="n"/>
      <c r="H42" s="9" t="n"/>
    </row>
    <row r="43">
      <c r="A43" s="34">
        <f>IF(B43="","",ROW()-13)</f>
        <v/>
      </c>
      <c r="B43" s="9" t="n"/>
      <c r="C43" s="9" t="n"/>
      <c r="D43" s="9" t="n"/>
      <c r="E43" s="35" t="n"/>
      <c r="F43" s="9" t="n"/>
      <c r="G43" s="24" t="n"/>
      <c r="H43" s="9" t="n"/>
    </row>
    <row r="44">
      <c r="A44" s="34">
        <f>IF(B44="","",ROW()-13)</f>
        <v/>
      </c>
      <c r="B44" s="9" t="n"/>
      <c r="C44" s="9" t="n"/>
      <c r="D44" s="9" t="n"/>
      <c r="E44" s="35" t="n"/>
      <c r="F44" s="9" t="n"/>
      <c r="G44" s="24" t="n"/>
      <c r="H44" s="9" t="n"/>
    </row>
    <row r="45">
      <c r="A45" s="34">
        <f>IF(B45="","",ROW()-13)</f>
        <v/>
      </c>
      <c r="B45" s="9" t="n"/>
      <c r="C45" s="9" t="n"/>
      <c r="D45" s="9" t="n"/>
      <c r="E45" s="35" t="n"/>
      <c r="F45" s="9" t="n"/>
      <c r="G45" s="24" t="n"/>
      <c r="H45" s="9" t="n"/>
    </row>
    <row r="46">
      <c r="A46" s="34">
        <f>IF(B46="","",ROW()-13)</f>
        <v/>
      </c>
      <c r="B46" s="9" t="n"/>
      <c r="C46" s="9" t="n"/>
      <c r="D46" s="9" t="n"/>
      <c r="E46" s="35" t="n"/>
      <c r="F46" s="9" t="n"/>
      <c r="G46" s="24" t="n"/>
      <c r="H46" s="9" t="n"/>
    </row>
    <row r="47">
      <c r="A47" s="34">
        <f>IF(B47="","",ROW()-13)</f>
        <v/>
      </c>
      <c r="B47" s="9" t="n"/>
      <c r="C47" s="9" t="n"/>
      <c r="D47" s="9" t="n"/>
      <c r="E47" s="35" t="n"/>
      <c r="F47" s="9" t="n"/>
      <c r="G47" s="24" t="n"/>
      <c r="H47" s="9" t="n"/>
    </row>
    <row r="48">
      <c r="A48" s="34">
        <f>IF(B48="","",ROW()-13)</f>
        <v/>
      </c>
      <c r="B48" s="9" t="n"/>
      <c r="C48" s="9" t="n"/>
      <c r="D48" s="9" t="n"/>
      <c r="E48" s="35" t="n"/>
      <c r="F48" s="9" t="n"/>
      <c r="G48" s="24" t="n"/>
      <c r="H48" s="9" t="n"/>
    </row>
    <row r="49">
      <c r="A49" s="34">
        <f>IF(B49="","",ROW()-13)</f>
        <v/>
      </c>
      <c r="B49" s="9" t="n"/>
      <c r="C49" s="9" t="n"/>
      <c r="D49" s="9" t="n"/>
      <c r="E49" s="35" t="n"/>
      <c r="F49" s="9" t="n"/>
      <c r="G49" s="24" t="n"/>
      <c r="H49" s="9" t="n"/>
    </row>
    <row r="50">
      <c r="A50" s="34">
        <f>IF(B50="","",ROW()-13)</f>
        <v/>
      </c>
      <c r="B50" s="9" t="n"/>
      <c r="C50" s="9" t="n"/>
      <c r="D50" s="9" t="n"/>
      <c r="E50" s="35" t="n"/>
      <c r="F50" s="9" t="n"/>
      <c r="G50" s="24" t="n"/>
      <c r="H50" s="9" t="n"/>
    </row>
    <row r="51">
      <c r="A51" s="34">
        <f>IF(B51="","",ROW()-13)</f>
        <v/>
      </c>
      <c r="B51" s="9" t="n"/>
      <c r="C51" s="9" t="n"/>
      <c r="D51" s="9" t="n"/>
      <c r="E51" s="35" t="n"/>
      <c r="F51" s="9" t="n"/>
      <c r="G51" s="24" t="n"/>
      <c r="H51" s="9" t="n"/>
    </row>
    <row r="52">
      <c r="A52" s="34">
        <f>IF(B52="","",ROW()-13)</f>
        <v/>
      </c>
      <c r="B52" s="9" t="n"/>
      <c r="C52" s="9" t="n"/>
      <c r="D52" s="9" t="n"/>
      <c r="E52" s="35" t="n"/>
      <c r="F52" s="9" t="n"/>
      <c r="G52" s="24" t="n"/>
      <c r="H52" s="9" t="n"/>
    </row>
    <row r="53">
      <c r="A53" s="34">
        <f>IF(B53="","",ROW()-13)</f>
        <v/>
      </c>
      <c r="B53" s="9" t="n"/>
      <c r="C53" s="9" t="n"/>
      <c r="D53" s="9" t="n"/>
      <c r="E53" s="35" t="n"/>
      <c r="F53" s="9" t="n"/>
      <c r="G53" s="24" t="n"/>
      <c r="H53" s="9" t="n"/>
    </row>
    <row r="54">
      <c r="A54" s="34">
        <f>IF(B54="","",ROW()-13)</f>
        <v/>
      </c>
      <c r="B54" s="9" t="n"/>
      <c r="C54" s="9" t="n"/>
      <c r="D54" s="9" t="n"/>
      <c r="E54" s="35" t="n"/>
      <c r="F54" s="9" t="n"/>
      <c r="G54" s="24" t="n"/>
      <c r="H54" s="9" t="n"/>
    </row>
    <row r="55">
      <c r="A55" s="34">
        <f>IF(B55="","",ROW()-13)</f>
        <v/>
      </c>
      <c r="B55" s="9" t="n"/>
      <c r="C55" s="9" t="n"/>
      <c r="D55" s="9" t="n"/>
      <c r="E55" s="35" t="n"/>
      <c r="F55" s="9" t="n"/>
      <c r="G55" s="24" t="n"/>
      <c r="H55" s="9" t="n"/>
    </row>
    <row r="56">
      <c r="A56" s="34">
        <f>IF(B56="","",ROW()-13)</f>
        <v/>
      </c>
      <c r="B56" s="9" t="n"/>
      <c r="C56" s="9" t="n"/>
      <c r="D56" s="9" t="n"/>
      <c r="E56" s="35" t="n"/>
      <c r="F56" s="9" t="n"/>
      <c r="G56" s="24" t="n"/>
      <c r="H56" s="9" t="n"/>
    </row>
    <row r="57">
      <c r="A57" s="34">
        <f>IF(B57="","",ROW()-13)</f>
        <v/>
      </c>
      <c r="B57" s="9" t="n"/>
      <c r="C57" s="9" t="n"/>
      <c r="D57" s="9" t="n"/>
      <c r="E57" s="35" t="n"/>
      <c r="F57" s="9" t="n"/>
      <c r="G57" s="24" t="n"/>
      <c r="H57" s="9" t="n"/>
    </row>
    <row r="58">
      <c r="A58" s="34">
        <f>IF(B58="","",ROW()-13)</f>
        <v/>
      </c>
      <c r="B58" s="9" t="n"/>
      <c r="C58" s="9" t="n"/>
      <c r="D58" s="9" t="n"/>
      <c r="E58" s="35" t="n"/>
      <c r="F58" s="9" t="n"/>
      <c r="G58" s="24" t="n"/>
      <c r="H58" s="9" t="n"/>
    </row>
    <row r="59">
      <c r="A59" s="34">
        <f>IF(B59="","",ROW()-13)</f>
        <v/>
      </c>
      <c r="B59" s="9" t="n"/>
      <c r="C59" s="9" t="n"/>
      <c r="D59" s="9" t="n"/>
      <c r="E59" s="35" t="n"/>
      <c r="F59" s="9" t="n"/>
      <c r="G59" s="24" t="n"/>
      <c r="H59" s="9" t="n"/>
    </row>
    <row r="60">
      <c r="A60" s="34">
        <f>IF(B60="","",ROW()-13)</f>
        <v/>
      </c>
      <c r="B60" s="9" t="n"/>
      <c r="C60" s="9" t="n"/>
      <c r="D60" s="9" t="n"/>
      <c r="E60" s="35" t="n"/>
      <c r="F60" s="9" t="n"/>
      <c r="G60" s="24" t="n"/>
      <c r="H60" s="9" t="n"/>
    </row>
    <row r="61">
      <c r="A61" s="34">
        <f>IF(B61="","",ROW()-13)</f>
        <v/>
      </c>
      <c r="B61" s="9" t="n"/>
      <c r="C61" s="9" t="n"/>
      <c r="D61" s="9" t="n"/>
      <c r="E61" s="35" t="n"/>
      <c r="F61" s="9" t="n"/>
      <c r="G61" s="24" t="n"/>
      <c r="H61" s="9" t="n"/>
    </row>
    <row r="62">
      <c r="A62" s="34">
        <f>IF(B62="","",ROW()-13)</f>
        <v/>
      </c>
      <c r="B62" s="9" t="n"/>
      <c r="C62" s="9" t="n"/>
      <c r="D62" s="9" t="n"/>
      <c r="E62" s="35" t="n"/>
      <c r="F62" s="9" t="n"/>
      <c r="G62" s="24" t="n"/>
      <c r="H62" s="9" t="n"/>
    </row>
    <row r="63">
      <c r="A63" s="34">
        <f>IF(B63="","",ROW()-13)</f>
        <v/>
      </c>
      <c r="B63" s="9" t="n"/>
      <c r="C63" s="9" t="n"/>
      <c r="D63" s="9" t="n"/>
      <c r="E63" s="35" t="n"/>
      <c r="F63" s="9" t="n"/>
      <c r="G63" s="24" t="n"/>
      <c r="H63" s="9" t="n"/>
    </row>
    <row r="64">
      <c r="A64" s="29" t="n"/>
      <c r="B64" s="29" t="inlineStr">
        <is>
          <t>TOTAL (all rows)</t>
        </is>
      </c>
      <c r="C64" s="29" t="n"/>
      <c r="D64" s="29" t="n"/>
      <c r="E64" s="29" t="n"/>
      <c r="F64" s="29" t="n"/>
      <c r="G64" s="31">
        <f>SUM(G14:G63)</f>
        <v/>
      </c>
      <c r="H64" s="29" t="n"/>
    </row>
  </sheetData>
  <mergeCells count="2">
    <mergeCell ref="A2:H2"/>
    <mergeCell ref="A1:H1"/>
  </mergeCells>
  <conditionalFormatting sqref="B14:D14 B15:H63 F14:H14">
    <cfRule type="expression" priority="1" dxfId="10">
      <formula>MOD(ROW(),2)=0</formula>
    </cfRule>
  </conditionalFormatting>
  <conditionalFormatting sqref="F14:F63">
    <cfRule type="cellIs" priority="2" operator="equal" dxfId="4">
      <formula>"Planned"</formula>
    </cfRule>
    <cfRule type="cellIs" priority="3" operator="equal" dxfId="9">
      <formula>"Ordered"</formula>
    </cfRule>
    <cfRule type="cellIs" priority="4" operator="equal" dxfId="3">
      <formula>"Received"</formula>
    </cfRule>
  </conditionalFormatting>
  <dataValidations count="2">
    <dataValidation sqref="C14:C63" showDropDown="0" showInputMessage="0" showErrorMessage="1" allowBlank="1" type="list">
      <formula1>"Equipment,Tools,Legal &amp; Filing,Software (one-time),Furniture &amp; Storage,Other"</formula1>
    </dataValidation>
    <dataValidation sqref="F14:F63" showDropDown="0" showInputMessage="0" showErrorMessage="1" allowBlank="1" type="list">
      <formula1>"Planned,Ordered,Received"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D97B29"/>
    <outlinePr summaryBelow="1" summaryRight="1"/>
    <pageSetUpPr/>
  </sheetPr>
  <dimension ref="A1:L213"/>
  <sheetViews>
    <sheetView topLeftCell="B1" workbookViewId="0">
      <pane ySplit="12" topLeftCell="A16" activePane="bottomLeft" state="frozen"/>
      <selection pane="bottomLeft" activeCell="G21" sqref="G21"/>
    </sheetView>
  </sheetViews>
  <sheetFormatPr baseColWidth="8" defaultRowHeight="14.4"/>
  <cols>
    <col width="13" customWidth="1" style="69" min="1" max="1"/>
    <col width="34" customWidth="1" style="69" min="2" max="2"/>
    <col width="26" customWidth="1" style="69" min="3" max="3"/>
    <col width="38" customWidth="1" style="69" min="4" max="4"/>
    <col width="12" customWidth="1" style="69" min="5" max="5"/>
    <col width="16" customWidth="1" style="69" min="6" max="6"/>
    <col width="28" customWidth="1" style="69" min="7" max="7"/>
    <col width="17" customWidth="1" style="69" min="8" max="8"/>
    <col width="3" customWidth="1" style="69" min="9" max="9"/>
    <col width="3" customWidth="1" style="69" min="10" max="10"/>
    <col width="30" customWidth="1" style="69" min="11" max="11"/>
    <col width="14" customWidth="1" style="69" min="12" max="12"/>
  </cols>
  <sheetData>
    <row r="1" ht="26.1" customHeight="1" s="69">
      <c r="A1" s="68" t="inlineStr">
        <is>
          <t>Operating Costs — Everything You Keep Paying For</t>
        </is>
      </c>
    </row>
    <row r="2" ht="15.9" customHeight="1" s="69">
      <c r="A2" s="70" t="inlineStr">
        <is>
          <t>The running costs of doing business: materials, packaging, shipping, insurance, marketing, website, fees.</t>
        </is>
      </c>
    </row>
    <row r="4" ht="14.1" customHeight="1" s="69">
      <c r="A4" s="12" t="inlineStr">
        <is>
          <t>WHAT THIS TAB IS FOR:  logging every expense that is NOT one-time equipment. This is your day-to-day spending record.</t>
        </is>
      </c>
      <c r="B4" s="6" t="n"/>
      <c r="C4" s="6" t="n"/>
      <c r="D4" s="6" t="n"/>
      <c r="E4" s="6" t="n"/>
      <c r="F4" s="6" t="n"/>
      <c r="G4" s="6" t="n"/>
    </row>
    <row r="5" ht="14.1" customHeight="1" s="69">
      <c r="A5" s="13" t="inlineStr">
        <is>
          <t>WHAT GOES HERE (one row per purchase, on the date you pay):</t>
        </is>
      </c>
      <c r="B5" s="6" t="n"/>
      <c r="C5" s="6" t="n"/>
      <c r="D5" s="6" t="n"/>
      <c r="E5" s="6" t="n"/>
      <c r="F5" s="6" t="n"/>
      <c r="G5" s="6" t="n"/>
    </row>
    <row r="6" ht="14.1" customHeight="1" s="69">
      <c r="A6" s="13" t="inlineStr">
        <is>
          <t xml:space="preserve">   • Materials &amp; Product Supplies — resin, polypropylene, lenses, screws (also enter per-pair math on the COGS tab)</t>
        </is>
      </c>
      <c r="B6" s="6" t="n"/>
      <c r="C6" s="6" t="n"/>
      <c r="D6" s="6" t="n"/>
      <c r="E6" s="6" t="n"/>
      <c r="F6" s="6" t="n"/>
      <c r="G6" s="6" t="n"/>
    </row>
    <row r="7" ht="14.1" customHeight="1" s="69">
      <c r="A7" s="13" t="inlineStr">
        <is>
          <t xml:space="preserve">   • Packaging, Shipping &amp; Postage, Insurance, Marketing &amp; Ads, Website &amp; Software subscriptions, Business Fees &amp; Licenses</t>
        </is>
      </c>
      <c r="B7" s="6" t="n"/>
      <c r="C7" s="6" t="n"/>
      <c r="D7" s="6" t="n"/>
      <c r="E7" s="6" t="n"/>
      <c r="F7" s="6" t="n"/>
      <c r="G7" s="6" t="n"/>
    </row>
    <row r="8" ht="14.1" customHeight="1" s="69">
      <c r="A8" s="13" t="inlineStr">
        <is>
          <t>WHAT DOES NOT GO HERE:  one-time equipment (Capital tab).</t>
        </is>
      </c>
      <c r="B8" s="6" t="n"/>
      <c r="C8" s="6" t="n"/>
      <c r="D8" s="6" t="n"/>
      <c r="E8" s="6" t="n"/>
      <c r="F8" s="6" t="n"/>
      <c r="G8" s="6" t="n"/>
    </row>
    <row r="9" ht="14.1" customHeight="1" s="69">
      <c r="A9" s="13" t="inlineStr">
        <is>
          <t>HOW TO USE IT:  pick a Category from the dropdown — the Spending by Category box (right) totals itself and shows</t>
        </is>
      </c>
      <c r="B9" s="6" t="n"/>
      <c r="C9" s="6" t="n"/>
      <c r="D9" s="6" t="n"/>
      <c r="E9" s="6" t="n"/>
      <c r="F9" s="6" t="n"/>
      <c r="G9" s="6" t="n"/>
    </row>
    <row r="10" ht="14.1" customHeight="1" s="69">
      <c r="A10" s="13" t="inlineStr">
        <is>
          <t>where your money actually goes. The DATE matters: Monthly Cash Flow uses it to place spending in the right month.</t>
        </is>
      </c>
      <c r="B10" s="6" t="n"/>
      <c r="C10" s="6" t="n"/>
      <c r="D10" s="6" t="n"/>
      <c r="E10" s="6" t="n"/>
      <c r="F10" s="6" t="n"/>
      <c r="G10" s="6" t="n"/>
    </row>
    <row r="12" ht="27.9" customHeight="1" s="69">
      <c r="A12" s="23" t="inlineStr">
        <is>
          <t>Date Paid</t>
        </is>
      </c>
      <c r="B12" s="23" t="inlineStr">
        <is>
          <t>Expense</t>
        </is>
      </c>
      <c r="C12" s="23" t="inlineStr">
        <is>
          <t>Category</t>
        </is>
      </c>
      <c r="D12" s="23" t="inlineStr">
        <is>
          <t>Vendor / Link</t>
        </is>
      </c>
      <c r="E12" s="23" t="inlineStr">
        <is>
          <t>Amount</t>
        </is>
      </c>
      <c r="F12" s="23" t="inlineStr">
        <is>
          <t>Paid With</t>
        </is>
      </c>
      <c r="G12" s="23" t="inlineStr">
        <is>
          <t>Notes</t>
        </is>
      </c>
      <c r="H12" s="73" t="inlineStr">
        <is>
          <t>Tax Deductible?</t>
        </is>
      </c>
      <c r="I12" s="74" t="n"/>
      <c r="J12" s="75" t="n"/>
      <c r="K12" s="76" t="inlineStr">
        <is>
          <t>SPENDING BY CATEGORY (auto)</t>
        </is>
      </c>
      <c r="L12" s="77" t="n"/>
    </row>
    <row r="13">
      <c r="A13" s="35" t="n">
        <v>46196</v>
      </c>
      <c r="B13" s="9" t="inlineStr">
        <is>
          <t>Hostinger Website</t>
        </is>
      </c>
      <c r="C13" s="9" t="inlineStr">
        <is>
          <t>Website &amp; Software</t>
        </is>
      </c>
      <c r="D13" s="9" t="inlineStr">
        <is>
          <t>Hostinger</t>
        </is>
      </c>
      <c r="E13" s="24" t="n">
        <v>191.52</v>
      </c>
      <c r="F13" s="9" t="inlineStr">
        <is>
          <t>Debit Card</t>
        </is>
      </c>
      <c r="G13" s="9" t="n"/>
      <c r="H13" s="78" t="inlineStr">
        <is>
          <t>Yes</t>
        </is>
      </c>
      <c r="I13" s="79" t="n"/>
      <c r="J13" s="80" t="n"/>
      <c r="K13" s="81" t="inlineStr">
        <is>
          <t>Materials &amp; Product Supplies</t>
        </is>
      </c>
      <c r="L13" s="82">
        <f>SUMIFS($E$13:$E$212,$C$13:$C$212,"Materials &amp; Product Supplies")</f>
        <v/>
      </c>
    </row>
    <row r="14">
      <c r="A14" s="35" t="n">
        <v>46210</v>
      </c>
      <c r="B14" s="9" t="inlineStr">
        <is>
          <t>Box to Jack</t>
        </is>
      </c>
      <c r="C14" s="9" t="inlineStr">
        <is>
          <t>Shipping &amp; Postage</t>
        </is>
      </c>
      <c r="D14" s="9" t="inlineStr">
        <is>
          <t>USPS</t>
        </is>
      </c>
      <c r="E14" s="24" t="n">
        <v>23.48</v>
      </c>
      <c r="F14" s="9" t="inlineStr">
        <is>
          <t>Cash</t>
        </is>
      </c>
      <c r="G14" s="9" t="n"/>
      <c r="H14" s="78" t="inlineStr">
        <is>
          <t>Yes</t>
        </is>
      </c>
      <c r="I14" s="79" t="n"/>
      <c r="J14" s="80" t="n"/>
      <c r="K14" s="81" t="inlineStr">
        <is>
          <t>Packaging</t>
        </is>
      </c>
      <c r="L14" s="82">
        <f>SUMIFS($E$13:$E$212,$C$13:$C$212,"Packaging")</f>
        <v/>
      </c>
    </row>
    <row r="15">
      <c r="A15" s="35" t="n">
        <v>46211</v>
      </c>
      <c r="B15" s="9" t="inlineStr">
        <is>
          <t>Ad payment</t>
        </is>
      </c>
      <c r="C15" s="9" t="inlineStr">
        <is>
          <t>Marketing &amp; Ads</t>
        </is>
      </c>
      <c r="D15" s="9" t="n"/>
      <c r="E15" s="24" t="n">
        <v>257.55</v>
      </c>
      <c r="F15" s="9" t="inlineStr">
        <is>
          <t>Debit Card</t>
        </is>
      </c>
      <c r="G15" s="9" t="inlineStr">
        <is>
          <t>Guy on insta creating ad</t>
        </is>
      </c>
      <c r="H15" s="78" t="inlineStr">
        <is>
          <t>Yes</t>
        </is>
      </c>
      <c r="I15" s="79" t="n"/>
      <c r="J15" s="80" t="n"/>
      <c r="K15" s="81" t="inlineStr">
        <is>
          <t>Shipping &amp; Postage</t>
        </is>
      </c>
      <c r="L15" s="82">
        <f>SUMIFS($E$13:$E$212,$C$13:$C$212,"Shipping &amp; Postage")</f>
        <v/>
      </c>
    </row>
    <row r="16">
      <c r="A16" s="35" t="n">
        <v>46210</v>
      </c>
      <c r="B16" s="9" t="inlineStr">
        <is>
          <t>Nono Color cards</t>
        </is>
      </c>
      <c r="C16" s="9" t="inlineStr">
        <is>
          <t>Materials &amp; Product Supplies</t>
        </is>
      </c>
      <c r="D16" s="9" t="inlineStr">
        <is>
          <t>Alibaba</t>
        </is>
      </c>
      <c r="E16" s="24" t="n">
        <v>59.76</v>
      </c>
      <c r="F16" s="9" t="inlineStr">
        <is>
          <t>Debit Card</t>
        </is>
      </c>
      <c r="G16" s="9" t="n"/>
      <c r="H16" s="78" t="inlineStr">
        <is>
          <t>Yes</t>
        </is>
      </c>
      <c r="I16" s="79" t="n"/>
      <c r="J16" s="80" t="n"/>
      <c r="K16" s="81" t="inlineStr">
        <is>
          <t>Insurance</t>
        </is>
      </c>
      <c r="L16" s="82">
        <f>SUMIFS($E$13:$E$212,$C$13:$C$212,"Insurance")</f>
        <v/>
      </c>
    </row>
    <row r="17">
      <c r="A17" s="35" t="n">
        <v>46210</v>
      </c>
      <c r="B17" s="9" t="inlineStr">
        <is>
          <t>Alee tan / Alice Color cards</t>
        </is>
      </c>
      <c r="C17" s="9" t="inlineStr">
        <is>
          <t>Materials &amp; Product Supplies</t>
        </is>
      </c>
      <c r="D17" s="9" t="inlineStr">
        <is>
          <t>Alibaba</t>
        </is>
      </c>
      <c r="E17" s="24" t="n">
        <v>49.13</v>
      </c>
      <c r="F17" s="9" t="inlineStr">
        <is>
          <t>Debit Card</t>
        </is>
      </c>
      <c r="G17" s="9" t="n"/>
      <c r="H17" s="78" t="inlineStr">
        <is>
          <t>Yes</t>
        </is>
      </c>
      <c r="I17" s="79" t="n"/>
      <c r="J17" s="80" t="n"/>
      <c r="K17" s="81" t="inlineStr">
        <is>
          <t>Marketing &amp; Ads</t>
        </is>
      </c>
      <c r="L17" s="82">
        <f>SUMIFS($E$13:$E$212,$C$13:$C$212,"Marketing &amp; Ads")</f>
        <v/>
      </c>
    </row>
    <row r="18">
      <c r="A18" s="35" t="n">
        <v>46210</v>
      </c>
      <c r="B18" s="9" t="inlineStr">
        <is>
          <t>Wire Charge</t>
        </is>
      </c>
      <c r="C18" s="9" t="inlineStr">
        <is>
          <t>Business Fees &amp; Licenses</t>
        </is>
      </c>
      <c r="D18" s="9" t="inlineStr">
        <is>
          <t>Bank of America</t>
        </is>
      </c>
      <c r="E18" s="24" t="n">
        <v>15</v>
      </c>
      <c r="F18" s="9" t="inlineStr">
        <is>
          <t>Debit Card</t>
        </is>
      </c>
      <c r="G18" s="9" t="inlineStr">
        <is>
          <t>Wire fee on the Alibaba payment</t>
        </is>
      </c>
      <c r="H18" s="78" t="inlineStr">
        <is>
          <t>Yes</t>
        </is>
      </c>
      <c r="I18" s="79" t="n"/>
      <c r="J18" s="80" t="n"/>
      <c r="K18" s="81" t="inlineStr">
        <is>
          <t>Website &amp; Software</t>
        </is>
      </c>
      <c r="L18" s="82">
        <f>SUMIFS($E$13:$E$212,$C$13:$C$212,"Website &amp; Software")</f>
        <v/>
      </c>
    </row>
    <row r="19">
      <c r="A19" s="35" t="n">
        <v>46217</v>
      </c>
      <c r="B19" s="9" t="inlineStr">
        <is>
          <t>Ad funding on Insta</t>
        </is>
      </c>
      <c r="C19" s="9" t="inlineStr">
        <is>
          <t>Marketing &amp; Ads</t>
        </is>
      </c>
      <c r="D19" s="9" t="inlineStr">
        <is>
          <t>Facebook / Meta</t>
        </is>
      </c>
      <c r="E19" s="24" t="n">
        <v>120</v>
      </c>
      <c r="F19" s="9" t="inlineStr">
        <is>
          <t>Debit Card</t>
        </is>
      </c>
      <c r="G19" s="9" t="n"/>
      <c r="H19" s="78" t="inlineStr">
        <is>
          <t>Yes</t>
        </is>
      </c>
      <c r="I19" s="79" t="n"/>
      <c r="J19" s="80" t="n"/>
      <c r="K19" s="81" t="inlineStr">
        <is>
          <t>Business Fees &amp; Licenses</t>
        </is>
      </c>
      <c r="L19" s="82">
        <f>SUMIFS($E$13:$E$212,$C$13:$C$212,"Business Fees &amp; Licenses")</f>
        <v/>
      </c>
    </row>
    <row r="20">
      <c r="A20" s="35" t="n">
        <v>46219</v>
      </c>
      <c r="B20" s="9" t="inlineStr">
        <is>
          <t>Ad funding on Insta</t>
        </is>
      </c>
      <c r="C20" s="9" t="inlineStr">
        <is>
          <t>Marketing &amp; Ads</t>
        </is>
      </c>
      <c r="D20" s="9" t="inlineStr">
        <is>
          <t>Facebook / Meta</t>
        </is>
      </c>
      <c r="E20" s="24" t="n">
        <v>140</v>
      </c>
      <c r="F20" s="9" t="inlineStr">
        <is>
          <t>Debit Card</t>
        </is>
      </c>
      <c r="G20" s="9" t="n"/>
      <c r="H20" s="78" t="inlineStr">
        <is>
          <t>Yes</t>
        </is>
      </c>
      <c r="I20" s="79" t="n"/>
      <c r="J20" s="80" t="n"/>
      <c r="K20" s="81" t="inlineStr">
        <is>
          <t>Equipment Repairs</t>
        </is>
      </c>
      <c r="L20" s="82">
        <f>SUMIFS($E$13:$E$212,$C$13:$C$212,"Equipment Repairs")</f>
        <v/>
      </c>
    </row>
    <row r="21">
      <c r="A21" s="35" t="n">
        <v>46219</v>
      </c>
      <c r="B21" s="9" t="inlineStr">
        <is>
          <t>Business Cards</t>
        </is>
      </c>
      <c r="C21" s="9" t="inlineStr">
        <is>
          <t>Marketing &amp; Ads</t>
        </is>
      </c>
      <c r="D21" s="9" t="inlineStr">
        <is>
          <t>GotPrint.com</t>
        </is>
      </c>
      <c r="E21" s="24" t="n">
        <v>24.82</v>
      </c>
      <c r="F21" s="9" t="inlineStr">
        <is>
          <t>Debit Card</t>
        </is>
      </c>
      <c r="G21" s="9" t="n"/>
      <c r="H21" s="78" t="inlineStr">
        <is>
          <t>Yes</t>
        </is>
      </c>
      <c r="I21" s="79" t="n"/>
      <c r="J21" s="80" t="n"/>
      <c r="K21" s="81" t="inlineStr">
        <is>
          <t>Travel</t>
        </is>
      </c>
      <c r="L21" s="82">
        <f>SUMIFS($E$13:$E$212,$C$13:$C$212,"Travel")</f>
        <v/>
      </c>
    </row>
    <row r="22">
      <c r="A22" s="35" t="n">
        <v>46223</v>
      </c>
      <c r="B22" s="9" t="inlineStr">
        <is>
          <t>Kickstarter.com charge</t>
        </is>
      </c>
      <c r="C22" s="9" t="inlineStr">
        <is>
          <t>Other</t>
        </is>
      </c>
      <c r="D22" s="9" t="inlineStr">
        <is>
          <t>Kickstarter.com</t>
        </is>
      </c>
      <c r="E22" s="24" t="n">
        <v>30.24</v>
      </c>
      <c r="F22" s="9" t="inlineStr">
        <is>
          <t>Debit Card</t>
        </is>
      </c>
      <c r="G22" s="9" t="inlineStr">
        <is>
          <t>*** CONFIRM *** what was this? If you backed someone else's project personally it is NOT deductible</t>
        </is>
      </c>
      <c r="H22" s="78" t="inlineStr">
        <is>
          <t>Partial - ask CPA</t>
        </is>
      </c>
      <c r="I22" s="79" t="n"/>
      <c r="J22" s="80" t="n"/>
      <c r="K22" s="81" t="inlineStr">
        <is>
          <t>Meals &amp; Entertainment (50%)</t>
        </is>
      </c>
      <c r="L22" s="82">
        <f>SUMIFS($E$13:$E$212,$C$13:$C$212,"Meals &amp; Entertainment (50%)")</f>
        <v/>
      </c>
    </row>
    <row r="23">
      <c r="A23" s="35" t="n">
        <v>46223</v>
      </c>
      <c r="B23" s="9" t="inlineStr">
        <is>
          <t>International transaction fee</t>
        </is>
      </c>
      <c r="C23" s="9" t="inlineStr">
        <is>
          <t>Business Fees &amp; Licenses</t>
        </is>
      </c>
      <c r="D23" s="9" t="inlineStr">
        <is>
          <t>Bank of America</t>
        </is>
      </c>
      <c r="E23" s="24" t="n">
        <v>0.91</v>
      </c>
      <c r="F23" s="9" t="inlineStr">
        <is>
          <t>Debit Card</t>
        </is>
      </c>
      <c r="G23" s="9" t="inlineStr">
        <is>
          <t>Foreign-transaction fee on the Kickstarter.com charge above</t>
        </is>
      </c>
      <c r="H23" s="78" t="inlineStr">
        <is>
          <t>Yes</t>
        </is>
      </c>
      <c r="I23" s="75" t="n"/>
      <c r="J23" s="75" t="n"/>
      <c r="K23" s="81" t="inlineStr">
        <is>
          <t>Other</t>
        </is>
      </c>
      <c r="L23" s="82">
        <f>SUMIFS($E$13:$E$212,$C$13:$C$212,"Other")</f>
        <v/>
      </c>
    </row>
    <row r="24">
      <c r="A24" s="35" t="n">
        <v>46226</v>
      </c>
      <c r="B24" s="9" t="inlineStr">
        <is>
          <t>Drake Media Network - advertising</t>
        </is>
      </c>
      <c r="C24" s="9" t="inlineStr">
        <is>
          <t>Marketing &amp; Ads</t>
        </is>
      </c>
      <c r="D24" s="9" t="inlineStr">
        <is>
          <t>Drake Media Network Inc</t>
        </is>
      </c>
      <c r="E24" s="24" t="n">
        <v>1500</v>
      </c>
      <c r="F24" s="9" t="inlineStr">
        <is>
          <t>Debit Card</t>
        </is>
      </c>
      <c r="G24" s="9" t="inlineStr">
        <is>
          <t>*** CONFIRM *** what did this $1,500 buy? Keep the invoice/contract</t>
        </is>
      </c>
      <c r="H24" s="78" t="inlineStr">
        <is>
          <t>Yes</t>
        </is>
      </c>
    </row>
    <row r="25">
      <c r="A25" s="35" t="n">
        <v>46226</v>
      </c>
      <c r="B25" s="9" t="inlineStr">
        <is>
          <t>Wire transfer fee</t>
        </is>
      </c>
      <c r="C25" s="9" t="inlineStr">
        <is>
          <t>Business Fees &amp; Licenses</t>
        </is>
      </c>
      <c r="D25" s="9" t="inlineStr">
        <is>
          <t>Bank of America</t>
        </is>
      </c>
      <c r="E25" s="24" t="n">
        <v>15</v>
      </c>
      <c r="F25" s="9" t="inlineStr">
        <is>
          <t>Debit Card</t>
        </is>
      </c>
      <c r="G25" s="9" t="n"/>
      <c r="H25" s="78" t="inlineStr">
        <is>
          <t>Yes</t>
        </is>
      </c>
    </row>
    <row r="26">
      <c r="A26" s="35" t="n">
        <v>46230</v>
      </c>
      <c r="B26" s="9" t="inlineStr">
        <is>
          <t>Amtrak tickets</t>
        </is>
      </c>
      <c r="C26" s="9" t="inlineStr">
        <is>
          <t>Travel</t>
        </is>
      </c>
      <c r="D26" s="9" t="inlineStr">
        <is>
          <t>Amtrak.com</t>
        </is>
      </c>
      <c r="E26" s="24" t="n">
        <v>476.85</v>
      </c>
      <c r="F26" s="9" t="inlineStr">
        <is>
          <t>Debit Card</t>
        </is>
      </c>
      <c r="G26" s="9" t="inlineStr">
        <is>
          <t>TAX: log trip purpose + who you met on the Tax Prep tab</t>
        </is>
      </c>
      <c r="H26" s="78" t="inlineStr">
        <is>
          <t>Yes</t>
        </is>
      </c>
    </row>
    <row r="27">
      <c r="A27" s="35" t="n">
        <v>46231</v>
      </c>
      <c r="B27" s="9" t="inlineStr">
        <is>
          <t>Ad payment (2nd)</t>
        </is>
      </c>
      <c r="C27" s="9" t="inlineStr">
        <is>
          <t>Marketing &amp; Ads</t>
        </is>
      </c>
      <c r="D27" s="9" t="inlineStr">
        <is>
          <t>PayPal - Daniel</t>
        </is>
      </c>
      <c r="E27" s="24" t="n">
        <v>257.55</v>
      </c>
      <c r="F27" s="9" t="inlineStr">
        <is>
          <t>Debit Card</t>
        </is>
      </c>
      <c r="G27" s="9" t="inlineStr">
        <is>
          <t>Guy on insta creating ad - second payment</t>
        </is>
      </c>
      <c r="H27" s="78" t="inlineStr">
        <is>
          <t>Yes</t>
        </is>
      </c>
    </row>
    <row r="28">
      <c r="A28" s="35" t="n">
        <v>46231</v>
      </c>
      <c r="B28" s="9" t="inlineStr">
        <is>
          <t>Wire transfer fee</t>
        </is>
      </c>
      <c r="C28" s="9" t="inlineStr">
        <is>
          <t>Business Fees &amp; Licenses</t>
        </is>
      </c>
      <c r="D28" s="9" t="inlineStr">
        <is>
          <t>Bank of America</t>
        </is>
      </c>
      <c r="E28" s="24" t="n">
        <v>15</v>
      </c>
      <c r="F28" s="9" t="inlineStr">
        <is>
          <t>Debit Card</t>
        </is>
      </c>
      <c r="G28" s="9" t="n"/>
      <c r="H28" s="78" t="inlineStr">
        <is>
          <t>Yes</t>
        </is>
      </c>
    </row>
    <row r="29">
      <c r="A29" s="35" t="n">
        <v>46232</v>
      </c>
      <c r="B29" s="9" t="inlineStr">
        <is>
          <t>Printify order</t>
        </is>
      </c>
      <c r="C29" s="9" t="inlineStr">
        <is>
          <t>Materials &amp; Product Supplies</t>
        </is>
      </c>
      <c r="D29" s="9" t="inlineStr">
        <is>
          <t>Printify.com</t>
        </is>
      </c>
      <c r="E29" s="24" t="n">
        <v>23.85</v>
      </c>
      <c r="F29" s="9" t="inlineStr">
        <is>
          <t>Debit Card</t>
        </is>
      </c>
      <c r="G29" s="9" t="inlineStr">
        <is>
          <t>*** CONFIRM *** merch, samples or something else?</t>
        </is>
      </c>
      <c r="H29" s="78" t="inlineStr">
        <is>
          <t>Yes</t>
        </is>
      </c>
    </row>
    <row r="30">
      <c r="A30" s="35" t="n">
        <v>46237</v>
      </c>
      <c r="B30" s="9" t="inlineStr">
        <is>
          <t>Uber ride</t>
        </is>
      </c>
      <c r="C30" s="9" t="inlineStr">
        <is>
          <t>Travel</t>
        </is>
      </c>
      <c r="D30" s="9" t="inlineStr">
        <is>
          <t>Uber</t>
        </is>
      </c>
      <c r="E30" s="24" t="n">
        <v>19.94</v>
      </c>
      <c r="F30" s="9" t="inlineStr">
        <is>
          <t>Debit Card</t>
        </is>
      </c>
      <c r="G30" s="9" t="inlineStr">
        <is>
          <t>TAX: log trip purpose on the Tax Prep tab</t>
        </is>
      </c>
      <c r="H30" s="78" t="inlineStr">
        <is>
          <t>Yes</t>
        </is>
      </c>
    </row>
    <row r="31">
      <c r="A31" s="35" t="n">
        <v>46239</v>
      </c>
      <c r="B31" s="9" t="inlineStr">
        <is>
          <t>LIRR train tickets</t>
        </is>
      </c>
      <c r="C31" s="9" t="inlineStr">
        <is>
          <t>Travel</t>
        </is>
      </c>
      <c r="D31" s="9" t="inlineStr">
        <is>
          <t>MTA / LIRR</t>
        </is>
      </c>
      <c r="E31" s="24" t="n">
        <v>67.5</v>
      </c>
      <c r="F31" s="9" t="inlineStr">
        <is>
          <t>Debit Card</t>
        </is>
      </c>
      <c r="G31" s="9" t="inlineStr">
        <is>
          <t>TAX: log trip purpose on the Tax Prep tab</t>
        </is>
      </c>
      <c r="H31" s="78" t="inlineStr">
        <is>
          <t>Yes</t>
        </is>
      </c>
    </row>
    <row r="32">
      <c r="A32" s="35" t="n">
        <v>46239</v>
      </c>
      <c r="B32" s="9" t="inlineStr">
        <is>
          <t>Printify order</t>
        </is>
      </c>
      <c r="C32" s="9" t="inlineStr">
        <is>
          <t>Materials &amp; Product Supplies</t>
        </is>
      </c>
      <c r="D32" s="9" t="inlineStr">
        <is>
          <t>Printify.com</t>
        </is>
      </c>
      <c r="E32" s="24" t="n">
        <v>44.18</v>
      </c>
      <c r="F32" s="9" t="inlineStr">
        <is>
          <t>Debit Card</t>
        </is>
      </c>
      <c r="G32" s="9" t="inlineStr">
        <is>
          <t>*** CONFIRM *** merch, samples or something else?</t>
        </is>
      </c>
      <c r="H32" s="78" t="inlineStr">
        <is>
          <t>Yes</t>
        </is>
      </c>
    </row>
    <row r="33">
      <c r="A33" s="35" t="n">
        <v>46241</v>
      </c>
      <c r="B33" s="9" t="inlineStr">
        <is>
          <t>Shopify order paid via PayPal</t>
        </is>
      </c>
      <c r="C33" s="9" t="inlineStr">
        <is>
          <t>Website &amp; Software</t>
        </is>
      </c>
      <c r="D33" s="9" t="inlineStr">
        <is>
          <t>PayPal *BOYNT</t>
        </is>
      </c>
      <c r="E33" s="24" t="n">
        <v>88.88</v>
      </c>
      <c r="F33" s="9" t="inlineStr">
        <is>
          <t>Debit Card</t>
        </is>
      </c>
      <c r="G33" s="9" t="inlineStr">
        <is>
          <t>*** CONFIRM *** looks like your OWN test order - matches the $85.29 Shopify payout on 8/17 minus $3.59 fees</t>
        </is>
      </c>
      <c r="H33" s="78" t="inlineStr">
        <is>
          <t>Partial - ask CPA</t>
        </is>
      </c>
    </row>
    <row r="34">
      <c r="A34" s="35" t="n">
        <v>46241</v>
      </c>
      <c r="B34" s="9" t="inlineStr">
        <is>
          <t>Wire transfer fee</t>
        </is>
      </c>
      <c r="C34" s="9" t="inlineStr">
        <is>
          <t>Business Fees &amp; Licenses</t>
        </is>
      </c>
      <c r="D34" s="9" t="inlineStr">
        <is>
          <t>Bank of America</t>
        </is>
      </c>
      <c r="E34" s="24" t="n">
        <v>15</v>
      </c>
      <c r="F34" s="9" t="inlineStr">
        <is>
          <t>Debit Card</t>
        </is>
      </c>
      <c r="G34" s="9" t="n"/>
      <c r="H34" s="78" t="inlineStr">
        <is>
          <t>Yes</t>
        </is>
      </c>
    </row>
    <row r="35">
      <c r="A35" s="35" t="n">
        <v>46244</v>
      </c>
      <c r="B35" s="9" t="inlineStr">
        <is>
          <t>Shopify fee</t>
        </is>
      </c>
      <c r="C35" s="9" t="inlineStr">
        <is>
          <t>Website &amp; Software</t>
        </is>
      </c>
      <c r="D35" s="9" t="inlineStr">
        <is>
          <t>Shopify.com</t>
        </is>
      </c>
      <c r="E35" s="24" t="n">
        <v>1.06</v>
      </c>
      <c r="F35" s="9" t="inlineStr">
        <is>
          <t>Debit Card</t>
        </is>
      </c>
      <c r="G35" s="9" t="n"/>
      <c r="H35" s="78" t="inlineStr">
        <is>
          <t>Yes</t>
        </is>
      </c>
    </row>
    <row r="36">
      <c r="A36" s="35" t="n"/>
      <c r="B36" s="9" t="n"/>
      <c r="C36" s="9" t="n"/>
      <c r="D36" s="9" t="n"/>
      <c r="E36" s="24" t="n"/>
      <c r="F36" s="9" t="n"/>
      <c r="G36" s="9" t="n"/>
      <c r="H36" s="78" t="n"/>
    </row>
    <row r="37">
      <c r="A37" s="35" t="n"/>
      <c r="B37" s="9" t="n"/>
      <c r="C37" s="9" t="n"/>
      <c r="D37" s="9" t="n"/>
      <c r="E37" s="24" t="n"/>
      <c r="F37" s="9" t="n"/>
      <c r="G37" s="9" t="n"/>
      <c r="H37" s="78" t="n"/>
    </row>
    <row r="38">
      <c r="A38" s="35" t="n"/>
      <c r="B38" s="9" t="n"/>
      <c r="C38" s="9" t="n"/>
      <c r="D38" s="9" t="n"/>
      <c r="E38" s="24" t="n"/>
      <c r="F38" s="9" t="n"/>
      <c r="G38" s="9" t="n"/>
      <c r="H38" s="78" t="n"/>
    </row>
    <row r="39">
      <c r="A39" s="35" t="n"/>
      <c r="B39" s="9" t="n"/>
      <c r="C39" s="9" t="n"/>
      <c r="D39" s="9" t="n"/>
      <c r="E39" s="24" t="n"/>
      <c r="F39" s="9" t="n"/>
      <c r="G39" s="9" t="n"/>
      <c r="H39" s="78" t="n"/>
    </row>
    <row r="40">
      <c r="A40" s="35" t="n"/>
      <c r="B40" s="9" t="n"/>
      <c r="C40" s="9" t="n"/>
      <c r="D40" s="9" t="n"/>
      <c r="E40" s="24" t="n"/>
      <c r="F40" s="9" t="n"/>
      <c r="G40" s="9" t="n"/>
      <c r="H40" s="78" t="n"/>
    </row>
    <row r="41">
      <c r="A41" s="35" t="n"/>
      <c r="B41" s="9" t="n"/>
      <c r="C41" s="9" t="n"/>
      <c r="D41" s="9" t="n"/>
      <c r="E41" s="24" t="n"/>
      <c r="F41" s="9" t="n"/>
      <c r="G41" s="9" t="n"/>
      <c r="H41" s="78" t="n"/>
    </row>
    <row r="42">
      <c r="A42" s="35" t="n"/>
      <c r="B42" s="9" t="n"/>
      <c r="C42" s="9" t="n"/>
      <c r="D42" s="9" t="n"/>
      <c r="E42" s="24" t="n"/>
      <c r="F42" s="9" t="n"/>
      <c r="G42" s="9" t="n"/>
      <c r="H42" s="78" t="n"/>
    </row>
    <row r="43">
      <c r="A43" s="35" t="n"/>
      <c r="B43" s="9" t="n"/>
      <c r="C43" s="9" t="n"/>
      <c r="D43" s="9" t="n"/>
      <c r="E43" s="24" t="n"/>
      <c r="F43" s="9" t="n"/>
      <c r="G43" s="9" t="n"/>
      <c r="H43" s="78" t="n"/>
    </row>
    <row r="44">
      <c r="A44" s="35" t="n"/>
      <c r="B44" s="9" t="n"/>
      <c r="C44" s="9" t="n"/>
      <c r="D44" s="9" t="n"/>
      <c r="E44" s="24" t="n"/>
      <c r="F44" s="9" t="n"/>
      <c r="G44" s="9" t="n"/>
      <c r="H44" s="78" t="n"/>
    </row>
    <row r="45">
      <c r="A45" s="35" t="n"/>
      <c r="B45" s="9" t="n"/>
      <c r="C45" s="9" t="n"/>
      <c r="D45" s="9" t="n"/>
      <c r="E45" s="24" t="n"/>
      <c r="F45" s="9" t="n"/>
      <c r="G45" s="9" t="n"/>
      <c r="H45" s="78" t="n"/>
    </row>
    <row r="46">
      <c r="A46" s="35" t="n"/>
      <c r="B46" s="9" t="n"/>
      <c r="C46" s="9" t="n"/>
      <c r="D46" s="9" t="n"/>
      <c r="E46" s="24" t="n"/>
      <c r="F46" s="9" t="n"/>
      <c r="G46" s="9" t="n"/>
      <c r="H46" s="78" t="n"/>
    </row>
    <row r="47">
      <c r="A47" s="35" t="n"/>
      <c r="B47" s="9" t="n"/>
      <c r="C47" s="9" t="n"/>
      <c r="D47" s="9" t="n"/>
      <c r="E47" s="24" t="n"/>
      <c r="F47" s="9" t="n"/>
      <c r="G47" s="9" t="n"/>
      <c r="H47" s="78" t="n"/>
    </row>
    <row r="48">
      <c r="A48" s="35" t="n"/>
      <c r="B48" s="9" t="n"/>
      <c r="C48" s="9" t="n"/>
      <c r="D48" s="9" t="n"/>
      <c r="E48" s="24" t="n"/>
      <c r="F48" s="9" t="n"/>
      <c r="G48" s="9" t="n"/>
      <c r="H48" s="78" t="n"/>
    </row>
    <row r="49">
      <c r="A49" s="35" t="n"/>
      <c r="B49" s="9" t="n"/>
      <c r="C49" s="9" t="n"/>
      <c r="D49" s="9" t="n"/>
      <c r="E49" s="24" t="n"/>
      <c r="F49" s="9" t="n"/>
      <c r="G49" s="9" t="n"/>
      <c r="H49" s="78" t="n"/>
    </row>
    <row r="50">
      <c r="A50" s="35" t="n"/>
      <c r="B50" s="9" t="n"/>
      <c r="C50" s="9" t="n"/>
      <c r="D50" s="9" t="n"/>
      <c r="E50" s="24" t="n"/>
      <c r="F50" s="9" t="n"/>
      <c r="G50" s="9" t="n"/>
      <c r="H50" s="78" t="n"/>
    </row>
    <row r="51">
      <c r="A51" s="35" t="n"/>
      <c r="B51" s="9" t="n"/>
      <c r="C51" s="9" t="n"/>
      <c r="D51" s="9" t="n"/>
      <c r="E51" s="24" t="n"/>
      <c r="F51" s="9" t="n"/>
      <c r="G51" s="9" t="n"/>
      <c r="H51" s="78" t="n"/>
    </row>
    <row r="52">
      <c r="A52" s="35" t="n"/>
      <c r="B52" s="9" t="n"/>
      <c r="C52" s="9" t="n"/>
      <c r="D52" s="9" t="n"/>
      <c r="E52" s="24" t="n"/>
      <c r="F52" s="9" t="n"/>
      <c r="G52" s="9" t="n"/>
      <c r="H52" s="78" t="n"/>
    </row>
    <row r="53">
      <c r="A53" s="35" t="n"/>
      <c r="B53" s="9" t="n"/>
      <c r="C53" s="9" t="n"/>
      <c r="D53" s="9" t="n"/>
      <c r="E53" s="24" t="n"/>
      <c r="F53" s="9" t="n"/>
      <c r="G53" s="9" t="n"/>
      <c r="H53" s="78" t="n"/>
    </row>
    <row r="54">
      <c r="A54" s="35" t="n"/>
      <c r="B54" s="9" t="n"/>
      <c r="C54" s="9" t="n"/>
      <c r="D54" s="9" t="n"/>
      <c r="E54" s="24" t="n"/>
      <c r="F54" s="9" t="n"/>
      <c r="G54" s="9" t="n"/>
      <c r="H54" s="78" t="n"/>
    </row>
    <row r="55">
      <c r="A55" s="35" t="n"/>
      <c r="B55" s="9" t="n"/>
      <c r="C55" s="9" t="n"/>
      <c r="D55" s="9" t="n"/>
      <c r="E55" s="24" t="n"/>
      <c r="F55" s="9" t="n"/>
      <c r="G55" s="9" t="n"/>
      <c r="H55" s="78" t="n"/>
    </row>
    <row r="56">
      <c r="A56" s="35" t="n"/>
      <c r="B56" s="9" t="n"/>
      <c r="C56" s="9" t="n"/>
      <c r="D56" s="9" t="n"/>
      <c r="E56" s="24" t="n"/>
      <c r="F56" s="9" t="n"/>
      <c r="G56" s="9" t="n"/>
      <c r="H56" s="78" t="n"/>
    </row>
    <row r="57">
      <c r="A57" s="35" t="n"/>
      <c r="B57" s="9" t="n"/>
      <c r="C57" s="9" t="n"/>
      <c r="D57" s="9" t="n"/>
      <c r="E57" s="24" t="n"/>
      <c r="F57" s="9" t="n"/>
      <c r="G57" s="9" t="n"/>
      <c r="H57" s="78" t="n"/>
    </row>
    <row r="58">
      <c r="A58" s="35" t="n"/>
      <c r="B58" s="9" t="n"/>
      <c r="C58" s="9" t="n"/>
      <c r="D58" s="9" t="n"/>
      <c r="E58" s="24" t="n"/>
      <c r="F58" s="9" t="n"/>
      <c r="G58" s="9" t="n"/>
      <c r="H58" s="78" t="n"/>
    </row>
    <row r="59">
      <c r="A59" s="35" t="n"/>
      <c r="B59" s="9" t="n"/>
      <c r="C59" s="9" t="n"/>
      <c r="D59" s="9" t="n"/>
      <c r="E59" s="24" t="n"/>
      <c r="F59" s="9" t="n"/>
      <c r="G59" s="9" t="n"/>
      <c r="H59" s="78" t="n"/>
    </row>
    <row r="60">
      <c r="A60" s="35" t="n"/>
      <c r="B60" s="9" t="n"/>
      <c r="C60" s="9" t="n"/>
      <c r="D60" s="9" t="n"/>
      <c r="E60" s="24" t="n"/>
      <c r="F60" s="9" t="n"/>
      <c r="G60" s="9" t="n"/>
      <c r="H60" s="78" t="n"/>
    </row>
    <row r="61">
      <c r="A61" s="35" t="n"/>
      <c r="B61" s="9" t="n"/>
      <c r="C61" s="9" t="n"/>
      <c r="D61" s="9" t="n"/>
      <c r="E61" s="24" t="n"/>
      <c r="F61" s="9" t="n"/>
      <c r="G61" s="9" t="n"/>
      <c r="H61" s="78" t="n"/>
    </row>
    <row r="62">
      <c r="A62" s="35" t="n"/>
      <c r="B62" s="9" t="n"/>
      <c r="C62" s="9" t="n"/>
      <c r="D62" s="9" t="n"/>
      <c r="E62" s="24" t="n"/>
      <c r="F62" s="9" t="n"/>
      <c r="G62" s="9" t="n"/>
      <c r="H62" s="78" t="n"/>
    </row>
    <row r="63">
      <c r="A63" s="35" t="n"/>
      <c r="B63" s="9" t="n"/>
      <c r="C63" s="9" t="n"/>
      <c r="D63" s="9" t="n"/>
      <c r="E63" s="24" t="n"/>
      <c r="F63" s="9" t="n"/>
      <c r="G63" s="9" t="n"/>
      <c r="H63" s="78" t="n"/>
    </row>
    <row r="64">
      <c r="A64" s="35" t="n"/>
      <c r="B64" s="9" t="n"/>
      <c r="C64" s="9" t="n"/>
      <c r="D64" s="9" t="n"/>
      <c r="E64" s="24" t="n"/>
      <c r="F64" s="9" t="n"/>
      <c r="G64" s="9" t="n"/>
      <c r="H64" s="78" t="n"/>
    </row>
    <row r="65">
      <c r="A65" s="35" t="n"/>
      <c r="B65" s="9" t="n"/>
      <c r="C65" s="9" t="n"/>
      <c r="D65" s="9" t="n"/>
      <c r="E65" s="24" t="n"/>
      <c r="F65" s="9" t="n"/>
      <c r="G65" s="9" t="n"/>
      <c r="H65" s="78" t="n"/>
    </row>
    <row r="66">
      <c r="A66" s="35" t="n"/>
      <c r="B66" s="9" t="n"/>
      <c r="C66" s="9" t="n"/>
      <c r="D66" s="9" t="n"/>
      <c r="E66" s="24" t="n"/>
      <c r="F66" s="9" t="n"/>
      <c r="G66" s="9" t="n"/>
      <c r="H66" s="78" t="n"/>
    </row>
    <row r="67">
      <c r="A67" s="35" t="n"/>
      <c r="B67" s="9" t="n"/>
      <c r="C67" s="9" t="n"/>
      <c r="D67" s="9" t="n"/>
      <c r="E67" s="24" t="n"/>
      <c r="F67" s="9" t="n"/>
      <c r="G67" s="9" t="n"/>
      <c r="H67" s="78" t="n"/>
    </row>
    <row r="68">
      <c r="A68" s="35" t="n"/>
      <c r="B68" s="9" t="n"/>
      <c r="C68" s="9" t="n"/>
      <c r="D68" s="9" t="n"/>
      <c r="E68" s="24" t="n"/>
      <c r="F68" s="9" t="n"/>
      <c r="G68" s="9" t="n"/>
      <c r="H68" s="78" t="n"/>
    </row>
    <row r="69">
      <c r="A69" s="35" t="n"/>
      <c r="B69" s="9" t="n"/>
      <c r="C69" s="9" t="n"/>
      <c r="D69" s="9" t="n"/>
      <c r="E69" s="24" t="n"/>
      <c r="F69" s="9" t="n"/>
      <c r="G69" s="9" t="n"/>
      <c r="H69" s="78" t="n"/>
    </row>
    <row r="70">
      <c r="A70" s="35" t="n"/>
      <c r="B70" s="9" t="n"/>
      <c r="C70" s="9" t="n"/>
      <c r="D70" s="9" t="n"/>
      <c r="E70" s="24" t="n"/>
      <c r="F70" s="9" t="n"/>
      <c r="G70" s="9" t="n"/>
      <c r="H70" s="78" t="n"/>
    </row>
    <row r="71">
      <c r="A71" s="35" t="n"/>
      <c r="B71" s="9" t="n"/>
      <c r="C71" s="9" t="n"/>
      <c r="D71" s="9" t="n"/>
      <c r="E71" s="24" t="n"/>
      <c r="F71" s="9" t="n"/>
      <c r="G71" s="9" t="n"/>
      <c r="H71" s="78" t="n"/>
    </row>
    <row r="72">
      <c r="A72" s="35" t="n"/>
      <c r="B72" s="9" t="n"/>
      <c r="C72" s="9" t="n"/>
      <c r="D72" s="9" t="n"/>
      <c r="E72" s="24" t="n"/>
      <c r="F72" s="9" t="n"/>
      <c r="G72" s="9" t="n"/>
      <c r="H72" s="78" t="n"/>
    </row>
    <row r="73">
      <c r="A73" s="35" t="n"/>
      <c r="B73" s="9" t="n"/>
      <c r="C73" s="9" t="n"/>
      <c r="D73" s="9" t="n"/>
      <c r="E73" s="24" t="n"/>
      <c r="F73" s="9" t="n"/>
      <c r="G73" s="9" t="n"/>
      <c r="H73" s="78" t="n"/>
    </row>
    <row r="74">
      <c r="A74" s="35" t="n"/>
      <c r="B74" s="9" t="n"/>
      <c r="C74" s="9" t="n"/>
      <c r="D74" s="9" t="n"/>
      <c r="E74" s="24" t="n"/>
      <c r="F74" s="9" t="n"/>
      <c r="G74" s="9" t="n"/>
      <c r="H74" s="78" t="n"/>
    </row>
    <row r="75">
      <c r="A75" s="35" t="n"/>
      <c r="B75" s="9" t="n"/>
      <c r="C75" s="9" t="n"/>
      <c r="D75" s="9" t="n"/>
      <c r="E75" s="24" t="n"/>
      <c r="F75" s="9" t="n"/>
      <c r="G75" s="9" t="n"/>
      <c r="H75" s="78" t="n"/>
    </row>
    <row r="76">
      <c r="A76" s="35" t="n"/>
      <c r="B76" s="9" t="n"/>
      <c r="C76" s="9" t="n"/>
      <c r="D76" s="9" t="n"/>
      <c r="E76" s="24" t="n"/>
      <c r="F76" s="9" t="n"/>
      <c r="G76" s="9" t="n"/>
      <c r="H76" s="78" t="n"/>
    </row>
    <row r="77">
      <c r="A77" s="35" t="n"/>
      <c r="B77" s="9" t="n"/>
      <c r="C77" s="9" t="n"/>
      <c r="D77" s="9" t="n"/>
      <c r="E77" s="24" t="n"/>
      <c r="F77" s="9" t="n"/>
      <c r="G77" s="9" t="n"/>
      <c r="H77" s="78" t="n"/>
    </row>
    <row r="78">
      <c r="A78" s="35" t="n"/>
      <c r="B78" s="9" t="n"/>
      <c r="C78" s="9" t="n"/>
      <c r="D78" s="9" t="n"/>
      <c r="E78" s="24" t="n"/>
      <c r="F78" s="9" t="n"/>
      <c r="G78" s="9" t="n"/>
      <c r="H78" s="78" t="n"/>
    </row>
    <row r="79">
      <c r="A79" s="35" t="n"/>
      <c r="B79" s="9" t="n"/>
      <c r="C79" s="9" t="n"/>
      <c r="D79" s="9" t="n"/>
      <c r="E79" s="24" t="n"/>
      <c r="F79" s="9" t="n"/>
      <c r="G79" s="9" t="n"/>
      <c r="H79" s="78" t="n"/>
    </row>
    <row r="80">
      <c r="A80" s="35" t="n"/>
      <c r="B80" s="9" t="n"/>
      <c r="C80" s="9" t="n"/>
      <c r="D80" s="9" t="n"/>
      <c r="E80" s="24" t="n"/>
      <c r="F80" s="9" t="n"/>
      <c r="G80" s="9" t="n"/>
      <c r="H80" s="78" t="n"/>
    </row>
    <row r="81">
      <c r="A81" s="35" t="n"/>
      <c r="B81" s="9" t="n"/>
      <c r="C81" s="9" t="n"/>
      <c r="D81" s="9" t="n"/>
      <c r="E81" s="24" t="n"/>
      <c r="F81" s="9" t="n"/>
      <c r="G81" s="9" t="n"/>
      <c r="H81" s="78" t="n"/>
    </row>
    <row r="82">
      <c r="A82" s="35" t="n"/>
      <c r="B82" s="9" t="n"/>
      <c r="C82" s="9" t="n"/>
      <c r="D82" s="9" t="n"/>
      <c r="E82" s="24" t="n"/>
      <c r="F82" s="9" t="n"/>
      <c r="G82" s="9" t="n"/>
      <c r="H82" s="78" t="n"/>
    </row>
    <row r="83">
      <c r="A83" s="35" t="n"/>
      <c r="B83" s="9" t="n"/>
      <c r="C83" s="9" t="n"/>
      <c r="D83" s="9" t="n"/>
      <c r="E83" s="24" t="n"/>
      <c r="F83" s="9" t="n"/>
      <c r="G83" s="9" t="n"/>
      <c r="H83" s="78" t="n"/>
    </row>
    <row r="84">
      <c r="A84" s="35" t="n"/>
      <c r="B84" s="9" t="n"/>
      <c r="C84" s="9" t="n"/>
      <c r="D84" s="9" t="n"/>
      <c r="E84" s="24" t="n"/>
      <c r="F84" s="9" t="n"/>
      <c r="G84" s="9" t="n"/>
      <c r="H84" s="78" t="n"/>
    </row>
    <row r="85">
      <c r="A85" s="35" t="n"/>
      <c r="B85" s="9" t="n"/>
      <c r="C85" s="9" t="n"/>
      <c r="D85" s="9" t="n"/>
      <c r="E85" s="24" t="n"/>
      <c r="F85" s="9" t="n"/>
      <c r="G85" s="9" t="n"/>
      <c r="H85" s="78" t="n"/>
    </row>
    <row r="86">
      <c r="A86" s="35" t="n"/>
      <c r="B86" s="9" t="n"/>
      <c r="C86" s="9" t="n"/>
      <c r="D86" s="9" t="n"/>
      <c r="E86" s="24" t="n"/>
      <c r="F86" s="9" t="n"/>
      <c r="G86" s="9" t="n"/>
      <c r="H86" s="78" t="n"/>
    </row>
    <row r="87">
      <c r="A87" s="35" t="n"/>
      <c r="B87" s="9" t="n"/>
      <c r="C87" s="9" t="n"/>
      <c r="D87" s="9" t="n"/>
      <c r="E87" s="24" t="n"/>
      <c r="F87" s="9" t="n"/>
      <c r="G87" s="9" t="n"/>
      <c r="H87" s="78" t="n"/>
    </row>
    <row r="88">
      <c r="A88" s="35" t="n"/>
      <c r="B88" s="9" t="n"/>
      <c r="C88" s="9" t="n"/>
      <c r="D88" s="9" t="n"/>
      <c r="E88" s="24" t="n"/>
      <c r="F88" s="9" t="n"/>
      <c r="G88" s="9" t="n"/>
      <c r="H88" s="78" t="n"/>
    </row>
    <row r="89">
      <c r="A89" s="35" t="n"/>
      <c r="B89" s="9" t="n"/>
      <c r="C89" s="9" t="n"/>
      <c r="D89" s="9" t="n"/>
      <c r="E89" s="24" t="n"/>
      <c r="F89" s="9" t="n"/>
      <c r="G89" s="9" t="n"/>
      <c r="H89" s="78" t="n"/>
    </row>
    <row r="90">
      <c r="A90" s="35" t="n"/>
      <c r="B90" s="9" t="n"/>
      <c r="C90" s="9" t="n"/>
      <c r="D90" s="9" t="n"/>
      <c r="E90" s="24" t="n"/>
      <c r="F90" s="9" t="n"/>
      <c r="G90" s="9" t="n"/>
      <c r="H90" s="78" t="n"/>
    </row>
    <row r="91">
      <c r="A91" s="35" t="n"/>
      <c r="B91" s="9" t="n"/>
      <c r="C91" s="9" t="n"/>
      <c r="D91" s="9" t="n"/>
      <c r="E91" s="24" t="n"/>
      <c r="F91" s="9" t="n"/>
      <c r="G91" s="9" t="n"/>
      <c r="H91" s="78" t="n"/>
    </row>
    <row r="92">
      <c r="A92" s="35" t="n"/>
      <c r="B92" s="9" t="n"/>
      <c r="C92" s="9" t="n"/>
      <c r="D92" s="9" t="n"/>
      <c r="E92" s="24" t="n"/>
      <c r="F92" s="9" t="n"/>
      <c r="G92" s="9" t="n"/>
      <c r="H92" s="78" t="n"/>
    </row>
    <row r="93">
      <c r="A93" s="35" t="n"/>
      <c r="B93" s="9" t="n"/>
      <c r="C93" s="9" t="n"/>
      <c r="D93" s="9" t="n"/>
      <c r="E93" s="24" t="n"/>
      <c r="F93" s="9" t="n"/>
      <c r="G93" s="9" t="n"/>
      <c r="H93" s="78" t="n"/>
    </row>
    <row r="94">
      <c r="A94" s="35" t="n"/>
      <c r="B94" s="9" t="n"/>
      <c r="C94" s="9" t="n"/>
      <c r="D94" s="9" t="n"/>
      <c r="E94" s="24" t="n"/>
      <c r="F94" s="9" t="n"/>
      <c r="G94" s="9" t="n"/>
      <c r="H94" s="78" t="n"/>
    </row>
    <row r="95">
      <c r="A95" s="35" t="n"/>
      <c r="B95" s="9" t="n"/>
      <c r="C95" s="9" t="n"/>
      <c r="D95" s="9" t="n"/>
      <c r="E95" s="24" t="n"/>
      <c r="F95" s="9" t="n"/>
      <c r="G95" s="9" t="n"/>
      <c r="H95" s="78" t="n"/>
    </row>
    <row r="96">
      <c r="A96" s="35" t="n"/>
      <c r="B96" s="9" t="n"/>
      <c r="C96" s="9" t="n"/>
      <c r="D96" s="9" t="n"/>
      <c r="E96" s="24" t="n"/>
      <c r="F96" s="9" t="n"/>
      <c r="G96" s="9" t="n"/>
      <c r="H96" s="78" t="n"/>
    </row>
    <row r="97">
      <c r="A97" s="35" t="n"/>
      <c r="B97" s="9" t="n"/>
      <c r="C97" s="9" t="n"/>
      <c r="D97" s="9" t="n"/>
      <c r="E97" s="24" t="n"/>
      <c r="F97" s="9" t="n"/>
      <c r="G97" s="9" t="n"/>
      <c r="H97" s="78" t="n"/>
    </row>
    <row r="98">
      <c r="A98" s="35" t="n"/>
      <c r="B98" s="9" t="n"/>
      <c r="C98" s="9" t="n"/>
      <c r="D98" s="9" t="n"/>
      <c r="E98" s="24" t="n"/>
      <c r="F98" s="9" t="n"/>
      <c r="G98" s="9" t="n"/>
      <c r="H98" s="78" t="n"/>
    </row>
    <row r="99">
      <c r="A99" s="35" t="n"/>
      <c r="B99" s="9" t="n"/>
      <c r="C99" s="9" t="n"/>
      <c r="D99" s="9" t="n"/>
      <c r="E99" s="24" t="n"/>
      <c r="F99" s="9" t="n"/>
      <c r="G99" s="9" t="n"/>
      <c r="H99" s="78" t="n"/>
    </row>
    <row r="100">
      <c r="A100" s="35" t="n"/>
      <c r="B100" s="9" t="n"/>
      <c r="C100" s="9" t="n"/>
      <c r="D100" s="9" t="n"/>
      <c r="E100" s="24" t="n"/>
      <c r="F100" s="9" t="n"/>
      <c r="G100" s="9" t="n"/>
      <c r="H100" s="78" t="n"/>
    </row>
    <row r="101">
      <c r="A101" s="35" t="n"/>
      <c r="B101" s="9" t="n"/>
      <c r="C101" s="9" t="n"/>
      <c r="D101" s="9" t="n"/>
      <c r="E101" s="24" t="n"/>
      <c r="F101" s="9" t="n"/>
      <c r="G101" s="9" t="n"/>
      <c r="H101" s="78" t="n"/>
    </row>
    <row r="102">
      <c r="A102" s="35" t="n"/>
      <c r="B102" s="9" t="n"/>
      <c r="C102" s="9" t="n"/>
      <c r="D102" s="9" t="n"/>
      <c r="E102" s="24" t="n"/>
      <c r="F102" s="9" t="n"/>
      <c r="G102" s="9" t="n"/>
      <c r="H102" s="78" t="n"/>
    </row>
    <row r="103">
      <c r="A103" s="35" t="n"/>
      <c r="B103" s="9" t="n"/>
      <c r="C103" s="9" t="n"/>
      <c r="D103" s="9" t="n"/>
      <c r="E103" s="24" t="n"/>
      <c r="F103" s="9" t="n"/>
      <c r="G103" s="9" t="n"/>
      <c r="H103" s="78" t="n"/>
    </row>
    <row r="104">
      <c r="A104" s="35" t="n"/>
      <c r="B104" s="9" t="n"/>
      <c r="C104" s="9" t="n"/>
      <c r="D104" s="9" t="n"/>
      <c r="E104" s="24" t="n"/>
      <c r="F104" s="9" t="n"/>
      <c r="G104" s="9" t="n"/>
      <c r="H104" s="78" t="n"/>
    </row>
    <row r="105">
      <c r="A105" s="35" t="n"/>
      <c r="B105" s="9" t="n"/>
      <c r="C105" s="9" t="n"/>
      <c r="D105" s="9" t="n"/>
      <c r="E105" s="24" t="n"/>
      <c r="F105" s="9" t="n"/>
      <c r="G105" s="9" t="n"/>
      <c r="H105" s="78" t="n"/>
    </row>
    <row r="106">
      <c r="A106" s="35" t="n"/>
      <c r="B106" s="9" t="n"/>
      <c r="C106" s="9" t="n"/>
      <c r="D106" s="9" t="n"/>
      <c r="E106" s="24" t="n"/>
      <c r="F106" s="9" t="n"/>
      <c r="G106" s="9" t="n"/>
      <c r="H106" s="78" t="n"/>
    </row>
    <row r="107">
      <c r="A107" s="35" t="n"/>
      <c r="B107" s="9" t="n"/>
      <c r="C107" s="9" t="n"/>
      <c r="D107" s="9" t="n"/>
      <c r="E107" s="24" t="n"/>
      <c r="F107" s="9" t="n"/>
      <c r="G107" s="9" t="n"/>
      <c r="H107" s="78" t="n"/>
    </row>
    <row r="108">
      <c r="A108" s="35" t="n"/>
      <c r="B108" s="9" t="n"/>
      <c r="C108" s="9" t="n"/>
      <c r="D108" s="9" t="n"/>
      <c r="E108" s="24" t="n"/>
      <c r="F108" s="9" t="n"/>
      <c r="G108" s="9" t="n"/>
      <c r="H108" s="78" t="n"/>
    </row>
    <row r="109">
      <c r="A109" s="35" t="n"/>
      <c r="B109" s="9" t="n"/>
      <c r="C109" s="9" t="n"/>
      <c r="D109" s="9" t="n"/>
      <c r="E109" s="24" t="n"/>
      <c r="F109" s="9" t="n"/>
      <c r="G109" s="9" t="n"/>
      <c r="H109" s="78" t="n"/>
    </row>
    <row r="110">
      <c r="A110" s="35" t="n"/>
      <c r="B110" s="9" t="n"/>
      <c r="C110" s="9" t="n"/>
      <c r="D110" s="9" t="n"/>
      <c r="E110" s="24" t="n"/>
      <c r="F110" s="9" t="n"/>
      <c r="G110" s="9" t="n"/>
      <c r="H110" s="78" t="n"/>
    </row>
    <row r="111">
      <c r="A111" s="35" t="n"/>
      <c r="B111" s="9" t="n"/>
      <c r="C111" s="9" t="n"/>
      <c r="D111" s="9" t="n"/>
      <c r="E111" s="24" t="n"/>
      <c r="F111" s="9" t="n"/>
      <c r="G111" s="9" t="n"/>
      <c r="H111" s="78" t="n"/>
    </row>
    <row r="112">
      <c r="A112" s="35" t="n"/>
      <c r="B112" s="9" t="n"/>
      <c r="C112" s="9" t="n"/>
      <c r="D112" s="9" t="n"/>
      <c r="E112" s="24" t="n"/>
      <c r="F112" s="9" t="n"/>
      <c r="G112" s="9" t="n"/>
      <c r="H112" s="78" t="n"/>
    </row>
    <row r="113">
      <c r="A113" s="35" t="n"/>
      <c r="B113" s="9" t="n"/>
      <c r="C113" s="9" t="n"/>
      <c r="D113" s="9" t="n"/>
      <c r="E113" s="24" t="n"/>
      <c r="F113" s="9" t="n"/>
      <c r="G113" s="9" t="n"/>
      <c r="H113" s="78" t="n"/>
    </row>
    <row r="114">
      <c r="A114" s="35" t="n"/>
      <c r="B114" s="9" t="n"/>
      <c r="C114" s="9" t="n"/>
      <c r="D114" s="9" t="n"/>
      <c r="E114" s="24" t="n"/>
      <c r="F114" s="9" t="n"/>
      <c r="G114" s="9" t="n"/>
      <c r="H114" s="78" t="n"/>
    </row>
    <row r="115">
      <c r="A115" s="35" t="n"/>
      <c r="B115" s="9" t="n"/>
      <c r="C115" s="9" t="n"/>
      <c r="D115" s="9" t="n"/>
      <c r="E115" s="24" t="n"/>
      <c r="F115" s="9" t="n"/>
      <c r="G115" s="9" t="n"/>
      <c r="H115" s="78" t="n"/>
    </row>
    <row r="116">
      <c r="A116" s="35" t="n"/>
      <c r="B116" s="9" t="n"/>
      <c r="C116" s="9" t="n"/>
      <c r="D116" s="9" t="n"/>
      <c r="E116" s="24" t="n"/>
      <c r="F116" s="9" t="n"/>
      <c r="G116" s="9" t="n"/>
      <c r="H116" s="78" t="n"/>
    </row>
    <row r="117">
      <c r="A117" s="35" t="n"/>
      <c r="B117" s="9" t="n"/>
      <c r="C117" s="9" t="n"/>
      <c r="D117" s="9" t="n"/>
      <c r="E117" s="24" t="n"/>
      <c r="F117" s="9" t="n"/>
      <c r="G117" s="9" t="n"/>
      <c r="H117" s="78" t="n"/>
    </row>
    <row r="118">
      <c r="A118" s="35" t="n"/>
      <c r="B118" s="9" t="n"/>
      <c r="C118" s="9" t="n"/>
      <c r="D118" s="9" t="n"/>
      <c r="E118" s="24" t="n"/>
      <c r="F118" s="9" t="n"/>
      <c r="G118" s="9" t="n"/>
      <c r="H118" s="78" t="n"/>
    </row>
    <row r="119">
      <c r="A119" s="35" t="n"/>
      <c r="B119" s="9" t="n"/>
      <c r="C119" s="9" t="n"/>
      <c r="D119" s="9" t="n"/>
      <c r="E119" s="24" t="n"/>
      <c r="F119" s="9" t="n"/>
      <c r="G119" s="9" t="n"/>
      <c r="H119" s="78" t="n"/>
    </row>
    <row r="120">
      <c r="A120" s="35" t="n"/>
      <c r="B120" s="9" t="n"/>
      <c r="C120" s="9" t="n"/>
      <c r="D120" s="9" t="n"/>
      <c r="E120" s="24" t="n"/>
      <c r="F120" s="9" t="n"/>
      <c r="G120" s="9" t="n"/>
      <c r="H120" s="78" t="n"/>
    </row>
    <row r="121">
      <c r="A121" s="35" t="n"/>
      <c r="B121" s="9" t="n"/>
      <c r="C121" s="9" t="n"/>
      <c r="D121" s="9" t="n"/>
      <c r="E121" s="24" t="n"/>
      <c r="F121" s="9" t="n"/>
      <c r="G121" s="9" t="n"/>
      <c r="H121" s="78" t="n"/>
    </row>
    <row r="122">
      <c r="A122" s="35" t="n"/>
      <c r="B122" s="9" t="n"/>
      <c r="C122" s="9" t="n"/>
      <c r="D122" s="9" t="n"/>
      <c r="E122" s="24" t="n"/>
      <c r="F122" s="9" t="n"/>
      <c r="G122" s="9" t="n"/>
      <c r="H122" s="78" t="n"/>
    </row>
    <row r="123">
      <c r="A123" s="35" t="n"/>
      <c r="B123" s="9" t="n"/>
      <c r="C123" s="9" t="n"/>
      <c r="D123" s="9" t="n"/>
      <c r="E123" s="24" t="n"/>
      <c r="F123" s="9" t="n"/>
      <c r="G123" s="9" t="n"/>
      <c r="H123" s="78" t="n"/>
    </row>
    <row r="124">
      <c r="A124" s="35" t="n"/>
      <c r="B124" s="9" t="n"/>
      <c r="C124" s="9" t="n"/>
      <c r="D124" s="9" t="n"/>
      <c r="E124" s="24" t="n"/>
      <c r="F124" s="9" t="n"/>
      <c r="G124" s="9" t="n"/>
      <c r="H124" s="78" t="n"/>
    </row>
    <row r="125">
      <c r="A125" s="35" t="n"/>
      <c r="B125" s="9" t="n"/>
      <c r="C125" s="9" t="n"/>
      <c r="D125" s="9" t="n"/>
      <c r="E125" s="24" t="n"/>
      <c r="F125" s="9" t="n"/>
      <c r="G125" s="9" t="n"/>
      <c r="H125" s="78" t="n"/>
    </row>
    <row r="126">
      <c r="A126" s="35" t="n"/>
      <c r="B126" s="9" t="n"/>
      <c r="C126" s="9" t="n"/>
      <c r="D126" s="9" t="n"/>
      <c r="E126" s="24" t="n"/>
      <c r="F126" s="9" t="n"/>
      <c r="G126" s="9" t="n"/>
      <c r="H126" s="78" t="n"/>
    </row>
    <row r="127">
      <c r="A127" s="35" t="n"/>
      <c r="B127" s="9" t="n"/>
      <c r="C127" s="9" t="n"/>
      <c r="D127" s="9" t="n"/>
      <c r="E127" s="24" t="n"/>
      <c r="F127" s="9" t="n"/>
      <c r="G127" s="9" t="n"/>
      <c r="H127" s="78" t="n"/>
    </row>
    <row r="128">
      <c r="A128" s="35" t="n"/>
      <c r="B128" s="9" t="n"/>
      <c r="C128" s="9" t="n"/>
      <c r="D128" s="9" t="n"/>
      <c r="E128" s="24" t="n"/>
      <c r="F128" s="9" t="n"/>
      <c r="G128" s="9" t="n"/>
      <c r="H128" s="78" t="n"/>
    </row>
    <row r="129">
      <c r="A129" s="35" t="n"/>
      <c r="B129" s="9" t="n"/>
      <c r="C129" s="9" t="n"/>
      <c r="D129" s="9" t="n"/>
      <c r="E129" s="24" t="n"/>
      <c r="F129" s="9" t="n"/>
      <c r="G129" s="9" t="n"/>
      <c r="H129" s="78" t="n"/>
    </row>
    <row r="130">
      <c r="A130" s="35" t="n"/>
      <c r="B130" s="9" t="n"/>
      <c r="C130" s="9" t="n"/>
      <c r="D130" s="9" t="n"/>
      <c r="E130" s="24" t="n"/>
      <c r="F130" s="9" t="n"/>
      <c r="G130" s="9" t="n"/>
      <c r="H130" s="78" t="n"/>
    </row>
    <row r="131">
      <c r="A131" s="35" t="n"/>
      <c r="B131" s="9" t="n"/>
      <c r="C131" s="9" t="n"/>
      <c r="D131" s="9" t="n"/>
      <c r="E131" s="24" t="n"/>
      <c r="F131" s="9" t="n"/>
      <c r="G131" s="9" t="n"/>
      <c r="H131" s="78" t="n"/>
    </row>
    <row r="132">
      <c r="A132" s="35" t="n"/>
      <c r="B132" s="9" t="n"/>
      <c r="C132" s="9" t="n"/>
      <c r="D132" s="9" t="n"/>
      <c r="E132" s="24" t="n"/>
      <c r="F132" s="9" t="n"/>
      <c r="G132" s="9" t="n"/>
      <c r="H132" s="78" t="n"/>
    </row>
    <row r="133">
      <c r="A133" s="35" t="n"/>
      <c r="B133" s="9" t="n"/>
      <c r="C133" s="9" t="n"/>
      <c r="D133" s="9" t="n"/>
      <c r="E133" s="24" t="n"/>
      <c r="F133" s="9" t="n"/>
      <c r="G133" s="9" t="n"/>
      <c r="H133" s="78" t="n"/>
    </row>
    <row r="134">
      <c r="A134" s="35" t="n"/>
      <c r="B134" s="9" t="n"/>
      <c r="C134" s="9" t="n"/>
      <c r="D134" s="9" t="n"/>
      <c r="E134" s="24" t="n"/>
      <c r="F134" s="9" t="n"/>
      <c r="G134" s="9" t="n"/>
      <c r="H134" s="78" t="n"/>
    </row>
    <row r="135">
      <c r="A135" s="35" t="n"/>
      <c r="B135" s="9" t="n"/>
      <c r="C135" s="9" t="n"/>
      <c r="D135" s="9" t="n"/>
      <c r="E135" s="24" t="n"/>
      <c r="F135" s="9" t="n"/>
      <c r="G135" s="9" t="n"/>
      <c r="H135" s="78" t="n"/>
    </row>
    <row r="136">
      <c r="A136" s="35" t="n"/>
      <c r="B136" s="9" t="n"/>
      <c r="C136" s="9" t="n"/>
      <c r="D136" s="9" t="n"/>
      <c r="E136" s="24" t="n"/>
      <c r="F136" s="9" t="n"/>
      <c r="G136" s="9" t="n"/>
      <c r="H136" s="78" t="n"/>
    </row>
    <row r="137">
      <c r="A137" s="35" t="n"/>
      <c r="B137" s="9" t="n"/>
      <c r="C137" s="9" t="n"/>
      <c r="D137" s="9" t="n"/>
      <c r="E137" s="24" t="n"/>
      <c r="F137" s="9" t="n"/>
      <c r="G137" s="9" t="n"/>
      <c r="H137" s="78" t="n"/>
    </row>
    <row r="138">
      <c r="A138" s="35" t="n"/>
      <c r="B138" s="9" t="n"/>
      <c r="C138" s="9" t="n"/>
      <c r="D138" s="9" t="n"/>
      <c r="E138" s="24" t="n"/>
      <c r="F138" s="9" t="n"/>
      <c r="G138" s="9" t="n"/>
      <c r="H138" s="78" t="n"/>
    </row>
    <row r="139">
      <c r="A139" s="35" t="n"/>
      <c r="B139" s="9" t="n"/>
      <c r="C139" s="9" t="n"/>
      <c r="D139" s="9" t="n"/>
      <c r="E139" s="24" t="n"/>
      <c r="F139" s="9" t="n"/>
      <c r="G139" s="9" t="n"/>
      <c r="H139" s="78" t="n"/>
    </row>
    <row r="140">
      <c r="A140" s="35" t="n"/>
      <c r="B140" s="9" t="n"/>
      <c r="C140" s="9" t="n"/>
      <c r="D140" s="9" t="n"/>
      <c r="E140" s="24" t="n"/>
      <c r="F140" s="9" t="n"/>
      <c r="G140" s="9" t="n"/>
      <c r="H140" s="78" t="n"/>
    </row>
    <row r="141">
      <c r="A141" s="35" t="n"/>
      <c r="B141" s="9" t="n"/>
      <c r="C141" s="9" t="n"/>
      <c r="D141" s="9" t="n"/>
      <c r="E141" s="24" t="n"/>
      <c r="F141" s="9" t="n"/>
      <c r="G141" s="9" t="n"/>
      <c r="H141" s="78" t="n"/>
    </row>
    <row r="142">
      <c r="A142" s="35" t="n"/>
      <c r="B142" s="9" t="n"/>
      <c r="C142" s="9" t="n"/>
      <c r="D142" s="9" t="n"/>
      <c r="E142" s="24" t="n"/>
      <c r="F142" s="9" t="n"/>
      <c r="G142" s="9" t="n"/>
      <c r="H142" s="78" t="n"/>
    </row>
    <row r="143">
      <c r="A143" s="35" t="n"/>
      <c r="B143" s="9" t="n"/>
      <c r="C143" s="9" t="n"/>
      <c r="D143" s="9" t="n"/>
      <c r="E143" s="24" t="n"/>
      <c r="F143" s="9" t="n"/>
      <c r="G143" s="9" t="n"/>
      <c r="H143" s="78" t="n"/>
    </row>
    <row r="144">
      <c r="A144" s="35" t="n"/>
      <c r="B144" s="9" t="n"/>
      <c r="C144" s="9" t="n"/>
      <c r="D144" s="9" t="n"/>
      <c r="E144" s="24" t="n"/>
      <c r="F144" s="9" t="n"/>
      <c r="G144" s="9" t="n"/>
      <c r="H144" s="78" t="n"/>
    </row>
    <row r="145">
      <c r="A145" s="35" t="n"/>
      <c r="B145" s="9" t="n"/>
      <c r="C145" s="9" t="n"/>
      <c r="D145" s="9" t="n"/>
      <c r="E145" s="24" t="n"/>
      <c r="F145" s="9" t="n"/>
      <c r="G145" s="9" t="n"/>
      <c r="H145" s="78" t="n"/>
    </row>
    <row r="146">
      <c r="A146" s="35" t="n"/>
      <c r="B146" s="9" t="n"/>
      <c r="C146" s="9" t="n"/>
      <c r="D146" s="9" t="n"/>
      <c r="E146" s="24" t="n"/>
      <c r="F146" s="9" t="n"/>
      <c r="G146" s="9" t="n"/>
      <c r="H146" s="78" t="n"/>
    </row>
    <row r="147">
      <c r="A147" s="35" t="n"/>
      <c r="B147" s="9" t="n"/>
      <c r="C147" s="9" t="n"/>
      <c r="D147" s="9" t="n"/>
      <c r="E147" s="24" t="n"/>
      <c r="F147" s="9" t="n"/>
      <c r="G147" s="9" t="n"/>
      <c r="H147" s="78" t="n"/>
    </row>
    <row r="148">
      <c r="A148" s="35" t="n"/>
      <c r="B148" s="9" t="n"/>
      <c r="C148" s="9" t="n"/>
      <c r="D148" s="9" t="n"/>
      <c r="E148" s="24" t="n"/>
      <c r="F148" s="9" t="n"/>
      <c r="G148" s="9" t="n"/>
      <c r="H148" s="78" t="n"/>
    </row>
    <row r="149">
      <c r="A149" s="35" t="n"/>
      <c r="B149" s="9" t="n"/>
      <c r="C149" s="9" t="n"/>
      <c r="D149" s="9" t="n"/>
      <c r="E149" s="24" t="n"/>
      <c r="F149" s="9" t="n"/>
      <c r="G149" s="9" t="n"/>
      <c r="H149" s="78" t="n"/>
    </row>
    <row r="150">
      <c r="A150" s="35" t="n"/>
      <c r="B150" s="9" t="n"/>
      <c r="C150" s="9" t="n"/>
      <c r="D150" s="9" t="n"/>
      <c r="E150" s="24" t="n"/>
      <c r="F150" s="9" t="n"/>
      <c r="G150" s="9" t="n"/>
      <c r="H150" s="78" t="n"/>
    </row>
    <row r="151">
      <c r="A151" s="35" t="n"/>
      <c r="B151" s="9" t="n"/>
      <c r="C151" s="9" t="n"/>
      <c r="D151" s="9" t="n"/>
      <c r="E151" s="24" t="n"/>
      <c r="F151" s="9" t="n"/>
      <c r="G151" s="9" t="n"/>
      <c r="H151" s="78" t="n"/>
    </row>
    <row r="152">
      <c r="A152" s="35" t="n"/>
      <c r="B152" s="9" t="n"/>
      <c r="C152" s="9" t="n"/>
      <c r="D152" s="9" t="n"/>
      <c r="E152" s="24" t="n"/>
      <c r="F152" s="9" t="n"/>
      <c r="G152" s="9" t="n"/>
      <c r="H152" s="78" t="n"/>
    </row>
    <row r="153">
      <c r="A153" s="35" t="n"/>
      <c r="B153" s="9" t="n"/>
      <c r="C153" s="9" t="n"/>
      <c r="D153" s="9" t="n"/>
      <c r="E153" s="24" t="n"/>
      <c r="F153" s="9" t="n"/>
      <c r="G153" s="9" t="n"/>
      <c r="H153" s="78" t="n"/>
    </row>
    <row r="154">
      <c r="A154" s="35" t="n"/>
      <c r="B154" s="9" t="n"/>
      <c r="C154" s="9" t="n"/>
      <c r="D154" s="9" t="n"/>
      <c r="E154" s="24" t="n"/>
      <c r="F154" s="9" t="n"/>
      <c r="G154" s="9" t="n"/>
      <c r="H154" s="78" t="n"/>
    </row>
    <row r="155">
      <c r="A155" s="35" t="n"/>
      <c r="B155" s="9" t="n"/>
      <c r="C155" s="9" t="n"/>
      <c r="D155" s="9" t="n"/>
      <c r="E155" s="24" t="n"/>
      <c r="F155" s="9" t="n"/>
      <c r="G155" s="9" t="n"/>
      <c r="H155" s="78" t="n"/>
    </row>
    <row r="156">
      <c r="A156" s="35" t="n"/>
      <c r="B156" s="9" t="n"/>
      <c r="C156" s="9" t="n"/>
      <c r="D156" s="9" t="n"/>
      <c r="E156" s="24" t="n"/>
      <c r="F156" s="9" t="n"/>
      <c r="G156" s="9" t="n"/>
      <c r="H156" s="78" t="n"/>
    </row>
    <row r="157">
      <c r="A157" s="35" t="n"/>
      <c r="B157" s="9" t="n"/>
      <c r="C157" s="9" t="n"/>
      <c r="D157" s="9" t="n"/>
      <c r="E157" s="24" t="n"/>
      <c r="F157" s="9" t="n"/>
      <c r="G157" s="9" t="n"/>
      <c r="H157" s="78" t="n"/>
    </row>
    <row r="158">
      <c r="A158" s="35" t="n"/>
      <c r="B158" s="9" t="n"/>
      <c r="C158" s="9" t="n"/>
      <c r="D158" s="9" t="n"/>
      <c r="E158" s="24" t="n"/>
      <c r="F158" s="9" t="n"/>
      <c r="G158" s="9" t="n"/>
      <c r="H158" s="78" t="n"/>
    </row>
    <row r="159">
      <c r="A159" s="35" t="n"/>
      <c r="B159" s="9" t="n"/>
      <c r="C159" s="9" t="n"/>
      <c r="D159" s="9" t="n"/>
      <c r="E159" s="24" t="n"/>
      <c r="F159" s="9" t="n"/>
      <c r="G159" s="9" t="n"/>
      <c r="H159" s="78" t="n"/>
    </row>
    <row r="160">
      <c r="A160" s="35" t="n"/>
      <c r="B160" s="9" t="n"/>
      <c r="C160" s="9" t="n"/>
      <c r="D160" s="9" t="n"/>
      <c r="E160" s="24" t="n"/>
      <c r="F160" s="9" t="n"/>
      <c r="G160" s="9" t="n"/>
      <c r="H160" s="78" t="n"/>
    </row>
    <row r="161">
      <c r="A161" s="35" t="n"/>
      <c r="B161" s="9" t="n"/>
      <c r="C161" s="9" t="n"/>
      <c r="D161" s="9" t="n"/>
      <c r="E161" s="24" t="n"/>
      <c r="F161" s="9" t="n"/>
      <c r="G161" s="9" t="n"/>
      <c r="H161" s="78" t="n"/>
    </row>
    <row r="162">
      <c r="A162" s="35" t="n"/>
      <c r="B162" s="9" t="n"/>
      <c r="C162" s="9" t="n"/>
      <c r="D162" s="9" t="n"/>
      <c r="E162" s="24" t="n"/>
      <c r="F162" s="9" t="n"/>
      <c r="G162" s="9" t="n"/>
      <c r="H162" s="78" t="n"/>
    </row>
    <row r="163">
      <c r="A163" s="35" t="n"/>
      <c r="B163" s="9" t="n"/>
      <c r="C163" s="9" t="n"/>
      <c r="D163" s="9" t="n"/>
      <c r="E163" s="24" t="n"/>
      <c r="F163" s="9" t="n"/>
      <c r="G163" s="9" t="n"/>
      <c r="H163" s="78" t="n"/>
    </row>
    <row r="164">
      <c r="A164" s="35" t="n"/>
      <c r="B164" s="9" t="n"/>
      <c r="C164" s="9" t="n"/>
      <c r="D164" s="9" t="n"/>
      <c r="E164" s="24" t="n"/>
      <c r="F164" s="9" t="n"/>
      <c r="G164" s="9" t="n"/>
      <c r="H164" s="78" t="n"/>
    </row>
    <row r="165">
      <c r="A165" s="35" t="n"/>
      <c r="B165" s="9" t="n"/>
      <c r="C165" s="9" t="n"/>
      <c r="D165" s="9" t="n"/>
      <c r="E165" s="24" t="n"/>
      <c r="F165" s="9" t="n"/>
      <c r="G165" s="9" t="n"/>
      <c r="H165" s="78" t="n"/>
    </row>
    <row r="166">
      <c r="A166" s="35" t="n"/>
      <c r="B166" s="9" t="n"/>
      <c r="C166" s="9" t="n"/>
      <c r="D166" s="9" t="n"/>
      <c r="E166" s="24" t="n"/>
      <c r="F166" s="9" t="n"/>
      <c r="G166" s="9" t="n"/>
      <c r="H166" s="78" t="n"/>
    </row>
    <row r="167">
      <c r="A167" s="35" t="n"/>
      <c r="B167" s="9" t="n"/>
      <c r="C167" s="9" t="n"/>
      <c r="D167" s="9" t="n"/>
      <c r="E167" s="24" t="n"/>
      <c r="F167" s="9" t="n"/>
      <c r="G167" s="9" t="n"/>
      <c r="H167" s="78" t="n"/>
    </row>
    <row r="168">
      <c r="A168" s="35" t="n"/>
      <c r="B168" s="9" t="n"/>
      <c r="C168" s="9" t="n"/>
      <c r="D168" s="9" t="n"/>
      <c r="E168" s="24" t="n"/>
      <c r="F168" s="9" t="n"/>
      <c r="G168" s="9" t="n"/>
      <c r="H168" s="78" t="n"/>
    </row>
    <row r="169">
      <c r="A169" s="35" t="n"/>
      <c r="B169" s="9" t="n"/>
      <c r="C169" s="9" t="n"/>
      <c r="D169" s="9" t="n"/>
      <c r="E169" s="24" t="n"/>
      <c r="F169" s="9" t="n"/>
      <c r="G169" s="9" t="n"/>
      <c r="H169" s="78" t="n"/>
    </row>
    <row r="170">
      <c r="A170" s="35" t="n"/>
      <c r="B170" s="9" t="n"/>
      <c r="C170" s="9" t="n"/>
      <c r="D170" s="9" t="n"/>
      <c r="E170" s="24" t="n"/>
      <c r="F170" s="9" t="n"/>
      <c r="G170" s="9" t="n"/>
      <c r="H170" s="78" t="n"/>
    </row>
    <row r="171">
      <c r="A171" s="35" t="n"/>
      <c r="B171" s="9" t="n"/>
      <c r="C171" s="9" t="n"/>
      <c r="D171" s="9" t="n"/>
      <c r="E171" s="24" t="n"/>
      <c r="F171" s="9" t="n"/>
      <c r="G171" s="9" t="n"/>
      <c r="H171" s="78" t="n"/>
    </row>
    <row r="172">
      <c r="A172" s="35" t="n"/>
      <c r="B172" s="9" t="n"/>
      <c r="C172" s="9" t="n"/>
      <c r="D172" s="9" t="n"/>
      <c r="E172" s="24" t="n"/>
      <c r="F172" s="9" t="n"/>
      <c r="G172" s="9" t="n"/>
      <c r="H172" s="78" t="n"/>
    </row>
    <row r="173">
      <c r="A173" s="35" t="n"/>
      <c r="B173" s="9" t="n"/>
      <c r="C173" s="9" t="n"/>
      <c r="D173" s="9" t="n"/>
      <c r="E173" s="24" t="n"/>
      <c r="F173" s="9" t="n"/>
      <c r="G173" s="9" t="n"/>
      <c r="H173" s="78" t="n"/>
    </row>
    <row r="174">
      <c r="A174" s="35" t="n"/>
      <c r="B174" s="9" t="n"/>
      <c r="C174" s="9" t="n"/>
      <c r="D174" s="9" t="n"/>
      <c r="E174" s="24" t="n"/>
      <c r="F174" s="9" t="n"/>
      <c r="G174" s="9" t="n"/>
      <c r="H174" s="78" t="n"/>
    </row>
    <row r="175">
      <c r="A175" s="35" t="n"/>
      <c r="B175" s="9" t="n"/>
      <c r="C175" s="9" t="n"/>
      <c r="D175" s="9" t="n"/>
      <c r="E175" s="24" t="n"/>
      <c r="F175" s="9" t="n"/>
      <c r="G175" s="9" t="n"/>
      <c r="H175" s="78" t="n"/>
    </row>
    <row r="176">
      <c r="A176" s="35" t="n"/>
      <c r="B176" s="9" t="n"/>
      <c r="C176" s="9" t="n"/>
      <c r="D176" s="9" t="n"/>
      <c r="E176" s="24" t="n"/>
      <c r="F176" s="9" t="n"/>
      <c r="G176" s="9" t="n"/>
      <c r="H176" s="78" t="n"/>
    </row>
    <row r="177">
      <c r="A177" s="35" t="n"/>
      <c r="B177" s="9" t="n"/>
      <c r="C177" s="9" t="n"/>
      <c r="D177" s="9" t="n"/>
      <c r="E177" s="24" t="n"/>
      <c r="F177" s="9" t="n"/>
      <c r="G177" s="9" t="n"/>
      <c r="H177" s="78" t="n"/>
    </row>
    <row r="178">
      <c r="A178" s="35" t="n"/>
      <c r="B178" s="9" t="n"/>
      <c r="C178" s="9" t="n"/>
      <c r="D178" s="9" t="n"/>
      <c r="E178" s="24" t="n"/>
      <c r="F178" s="9" t="n"/>
      <c r="G178" s="9" t="n"/>
      <c r="H178" s="78" t="n"/>
    </row>
    <row r="179">
      <c r="A179" s="35" t="n"/>
      <c r="B179" s="9" t="n"/>
      <c r="C179" s="9" t="n"/>
      <c r="D179" s="9" t="n"/>
      <c r="E179" s="24" t="n"/>
      <c r="F179" s="9" t="n"/>
      <c r="G179" s="9" t="n"/>
      <c r="H179" s="78" t="n"/>
    </row>
    <row r="180">
      <c r="A180" s="35" t="n"/>
      <c r="B180" s="9" t="n"/>
      <c r="C180" s="9" t="n"/>
      <c r="D180" s="9" t="n"/>
      <c r="E180" s="24" t="n"/>
      <c r="F180" s="9" t="n"/>
      <c r="G180" s="9" t="n"/>
      <c r="H180" s="78" t="n"/>
    </row>
    <row r="181">
      <c r="A181" s="35" t="n"/>
      <c r="B181" s="9" t="n"/>
      <c r="C181" s="9" t="n"/>
      <c r="D181" s="9" t="n"/>
      <c r="E181" s="24" t="n"/>
      <c r="F181" s="9" t="n"/>
      <c r="G181" s="9" t="n"/>
      <c r="H181" s="78" t="n"/>
    </row>
    <row r="182">
      <c r="A182" s="35" t="n"/>
      <c r="B182" s="9" t="n"/>
      <c r="C182" s="9" t="n"/>
      <c r="D182" s="9" t="n"/>
      <c r="E182" s="24" t="n"/>
      <c r="F182" s="9" t="n"/>
      <c r="G182" s="9" t="n"/>
      <c r="H182" s="78" t="n"/>
    </row>
    <row r="183">
      <c r="A183" s="35" t="n"/>
      <c r="B183" s="9" t="n"/>
      <c r="C183" s="9" t="n"/>
      <c r="D183" s="9" t="n"/>
      <c r="E183" s="24" t="n"/>
      <c r="F183" s="9" t="n"/>
      <c r="G183" s="9" t="n"/>
      <c r="H183" s="78" t="n"/>
    </row>
    <row r="184">
      <c r="A184" s="35" t="n"/>
      <c r="B184" s="9" t="n"/>
      <c r="C184" s="9" t="n"/>
      <c r="D184" s="9" t="n"/>
      <c r="E184" s="24" t="n"/>
      <c r="F184" s="9" t="n"/>
      <c r="G184" s="9" t="n"/>
      <c r="H184" s="78" t="n"/>
    </row>
    <row r="185">
      <c r="A185" s="35" t="n"/>
      <c r="B185" s="9" t="n"/>
      <c r="C185" s="9" t="n"/>
      <c r="D185" s="9" t="n"/>
      <c r="E185" s="24" t="n"/>
      <c r="F185" s="9" t="n"/>
      <c r="G185" s="9" t="n"/>
      <c r="H185" s="78" t="n"/>
    </row>
    <row r="186">
      <c r="A186" s="35" t="n"/>
      <c r="B186" s="9" t="n"/>
      <c r="C186" s="9" t="n"/>
      <c r="D186" s="9" t="n"/>
      <c r="E186" s="24" t="n"/>
      <c r="F186" s="9" t="n"/>
      <c r="G186" s="9" t="n"/>
      <c r="H186" s="78" t="n"/>
    </row>
    <row r="187">
      <c r="A187" s="35" t="n"/>
      <c r="B187" s="9" t="n"/>
      <c r="C187" s="9" t="n"/>
      <c r="D187" s="9" t="n"/>
      <c r="E187" s="24" t="n"/>
      <c r="F187" s="9" t="n"/>
      <c r="G187" s="9" t="n"/>
      <c r="H187" s="78" t="n"/>
    </row>
    <row r="188">
      <c r="A188" s="35" t="n"/>
      <c r="B188" s="9" t="n"/>
      <c r="C188" s="9" t="n"/>
      <c r="D188" s="9" t="n"/>
      <c r="E188" s="24" t="n"/>
      <c r="F188" s="9" t="n"/>
      <c r="G188" s="9" t="n"/>
      <c r="H188" s="78" t="n"/>
    </row>
    <row r="189">
      <c r="A189" s="35" t="n"/>
      <c r="B189" s="9" t="n"/>
      <c r="C189" s="9" t="n"/>
      <c r="D189" s="9" t="n"/>
      <c r="E189" s="24" t="n"/>
      <c r="F189" s="9" t="n"/>
      <c r="G189" s="9" t="n"/>
      <c r="H189" s="78" t="n"/>
    </row>
    <row r="190">
      <c r="A190" s="35" t="n"/>
      <c r="B190" s="9" t="n"/>
      <c r="C190" s="9" t="n"/>
      <c r="D190" s="9" t="n"/>
      <c r="E190" s="24" t="n"/>
      <c r="F190" s="9" t="n"/>
      <c r="G190" s="9" t="n"/>
      <c r="H190" s="78" t="n"/>
    </row>
    <row r="191">
      <c r="A191" s="35" t="n"/>
      <c r="B191" s="9" t="n"/>
      <c r="C191" s="9" t="n"/>
      <c r="D191" s="9" t="n"/>
      <c r="E191" s="24" t="n"/>
      <c r="F191" s="9" t="n"/>
      <c r="G191" s="9" t="n"/>
      <c r="H191" s="78" t="n"/>
    </row>
    <row r="192">
      <c r="A192" s="35" t="n"/>
      <c r="B192" s="9" t="n"/>
      <c r="C192" s="9" t="n"/>
      <c r="D192" s="9" t="n"/>
      <c r="E192" s="24" t="n"/>
      <c r="F192" s="9" t="n"/>
      <c r="G192" s="9" t="n"/>
      <c r="H192" s="78" t="n"/>
    </row>
    <row r="193">
      <c r="A193" s="35" t="n"/>
      <c r="B193" s="9" t="n"/>
      <c r="C193" s="9" t="n"/>
      <c r="D193" s="9" t="n"/>
      <c r="E193" s="24" t="n"/>
      <c r="F193" s="9" t="n"/>
      <c r="G193" s="9" t="n"/>
      <c r="H193" s="78" t="n"/>
    </row>
    <row r="194">
      <c r="A194" s="35" t="n"/>
      <c r="B194" s="9" t="n"/>
      <c r="C194" s="9" t="n"/>
      <c r="D194" s="9" t="n"/>
      <c r="E194" s="24" t="n"/>
      <c r="F194" s="9" t="n"/>
      <c r="G194" s="9" t="n"/>
      <c r="H194" s="78" t="n"/>
    </row>
    <row r="195">
      <c r="A195" s="35" t="n"/>
      <c r="B195" s="9" t="n"/>
      <c r="C195" s="9" t="n"/>
      <c r="D195" s="9" t="n"/>
      <c r="E195" s="24" t="n"/>
      <c r="F195" s="9" t="n"/>
      <c r="G195" s="9" t="n"/>
      <c r="H195" s="78" t="n"/>
    </row>
    <row r="196">
      <c r="A196" s="35" t="n"/>
      <c r="B196" s="9" t="n"/>
      <c r="C196" s="9" t="n"/>
      <c r="D196" s="9" t="n"/>
      <c r="E196" s="24" t="n"/>
      <c r="F196" s="9" t="n"/>
      <c r="G196" s="9" t="n"/>
      <c r="H196" s="78" t="n"/>
    </row>
    <row r="197">
      <c r="A197" s="35" t="n"/>
      <c r="B197" s="9" t="n"/>
      <c r="C197" s="9" t="n"/>
      <c r="D197" s="9" t="n"/>
      <c r="E197" s="24" t="n"/>
      <c r="F197" s="9" t="n"/>
      <c r="G197" s="9" t="n"/>
      <c r="H197" s="78" t="n"/>
    </row>
    <row r="198">
      <c r="A198" s="35" t="n"/>
      <c r="B198" s="9" t="n"/>
      <c r="C198" s="9" t="n"/>
      <c r="D198" s="9" t="n"/>
      <c r="E198" s="24" t="n"/>
      <c r="F198" s="9" t="n"/>
      <c r="G198" s="9" t="n"/>
      <c r="H198" s="78" t="n"/>
    </row>
    <row r="199">
      <c r="A199" s="35" t="n"/>
      <c r="B199" s="9" t="n"/>
      <c r="C199" s="9" t="n"/>
      <c r="D199" s="9" t="n"/>
      <c r="E199" s="24" t="n"/>
      <c r="F199" s="9" t="n"/>
      <c r="G199" s="9" t="n"/>
      <c r="H199" s="78" t="n"/>
    </row>
    <row r="200">
      <c r="A200" s="35" t="n"/>
      <c r="B200" s="9" t="n"/>
      <c r="C200" s="9" t="n"/>
      <c r="D200" s="9" t="n"/>
      <c r="E200" s="24" t="n"/>
      <c r="F200" s="9" t="n"/>
      <c r="G200" s="9" t="n"/>
      <c r="H200" s="78" t="n"/>
    </row>
    <row r="201">
      <c r="A201" s="35" t="n"/>
      <c r="B201" s="9" t="n"/>
      <c r="C201" s="9" t="n"/>
      <c r="D201" s="9" t="n"/>
      <c r="E201" s="24" t="n"/>
      <c r="F201" s="9" t="n"/>
      <c r="G201" s="9" t="n"/>
      <c r="H201" s="78" t="n"/>
    </row>
    <row r="202">
      <c r="A202" s="35" t="n"/>
      <c r="B202" s="9" t="n"/>
      <c r="C202" s="9" t="n"/>
      <c r="D202" s="9" t="n"/>
      <c r="E202" s="24" t="n"/>
      <c r="F202" s="9" t="n"/>
      <c r="G202" s="9" t="n"/>
      <c r="H202" s="78" t="n"/>
    </row>
    <row r="203">
      <c r="A203" s="35" t="n"/>
      <c r="B203" s="9" t="n"/>
      <c r="C203" s="9" t="n"/>
      <c r="D203" s="9" t="n"/>
      <c r="E203" s="24" t="n"/>
      <c r="F203" s="9" t="n"/>
      <c r="G203" s="9" t="n"/>
      <c r="H203" s="78" t="n"/>
    </row>
    <row r="204">
      <c r="A204" s="35" t="n"/>
      <c r="B204" s="9" t="n"/>
      <c r="C204" s="9" t="n"/>
      <c r="D204" s="9" t="n"/>
      <c r="E204" s="24" t="n"/>
      <c r="F204" s="9" t="n"/>
      <c r="G204" s="9" t="n"/>
      <c r="H204" s="78" t="n"/>
    </row>
    <row r="205">
      <c r="A205" s="35" t="n"/>
      <c r="B205" s="9" t="n"/>
      <c r="C205" s="9" t="n"/>
      <c r="D205" s="9" t="n"/>
      <c r="E205" s="24" t="n"/>
      <c r="F205" s="9" t="n"/>
      <c r="G205" s="9" t="n"/>
      <c r="H205" s="78" t="n"/>
    </row>
    <row r="206">
      <c r="A206" s="35" t="n"/>
      <c r="B206" s="9" t="n"/>
      <c r="C206" s="9" t="n"/>
      <c r="D206" s="9" t="n"/>
      <c r="E206" s="24" t="n"/>
      <c r="F206" s="9" t="n"/>
      <c r="G206" s="9" t="n"/>
      <c r="H206" s="78" t="n"/>
    </row>
    <row r="207">
      <c r="A207" s="35" t="n"/>
      <c r="B207" s="9" t="n"/>
      <c r="C207" s="9" t="n"/>
      <c r="D207" s="9" t="n"/>
      <c r="E207" s="24" t="n"/>
      <c r="F207" s="9" t="n"/>
      <c r="G207" s="9" t="n"/>
      <c r="H207" s="78" t="n"/>
    </row>
    <row r="208">
      <c r="A208" s="35" t="n"/>
      <c r="B208" s="9" t="n"/>
      <c r="C208" s="9" t="n"/>
      <c r="D208" s="9" t="n"/>
      <c r="E208" s="24" t="n"/>
      <c r="F208" s="9" t="n"/>
      <c r="G208" s="9" t="n"/>
      <c r="H208" s="78" t="n"/>
    </row>
    <row r="209">
      <c r="A209" s="35" t="n"/>
      <c r="B209" s="9" t="n"/>
      <c r="C209" s="9" t="n"/>
      <c r="D209" s="9" t="n"/>
      <c r="E209" s="24" t="n"/>
      <c r="F209" s="9" t="n"/>
      <c r="G209" s="9" t="n"/>
      <c r="H209" s="78" t="n"/>
    </row>
    <row r="210">
      <c r="A210" s="35" t="n"/>
      <c r="B210" s="9" t="n"/>
      <c r="C210" s="9" t="n"/>
      <c r="D210" s="9" t="n"/>
      <c r="E210" s="24" t="n"/>
      <c r="F210" s="9" t="n"/>
      <c r="G210" s="9" t="n"/>
      <c r="H210" s="78" t="n"/>
    </row>
    <row r="211">
      <c r="A211" s="35" t="n"/>
      <c r="B211" s="9" t="n"/>
      <c r="C211" s="9" t="n"/>
      <c r="D211" s="9" t="n"/>
      <c r="E211" s="24" t="n"/>
      <c r="F211" s="9" t="n"/>
      <c r="G211" s="9" t="n"/>
      <c r="H211" s="78" t="n"/>
    </row>
    <row r="212">
      <c r="A212" s="35" t="n"/>
      <c r="B212" s="9" t="n"/>
      <c r="C212" s="9" t="n"/>
      <c r="D212" s="9" t="n"/>
      <c r="E212" s="24" t="n"/>
      <c r="F212" s="9" t="n"/>
      <c r="G212" s="9" t="n"/>
      <c r="H212" s="78" t="n"/>
    </row>
    <row r="213">
      <c r="A213" s="29" t="n"/>
      <c r="B213" s="29" t="inlineStr">
        <is>
          <t>TOTAL OPERATING COSTS</t>
        </is>
      </c>
      <c r="C213" s="29" t="n"/>
      <c r="D213" s="29" t="n"/>
      <c r="E213" s="31">
        <f>SUM(E13:E212)</f>
        <v/>
      </c>
      <c r="F213" s="29" t="n"/>
      <c r="G213" s="29" t="n"/>
      <c r="H213" s="83" t="n"/>
    </row>
  </sheetData>
  <mergeCells count="2">
    <mergeCell ref="A2:G2"/>
    <mergeCell ref="A1:G1"/>
  </mergeCells>
  <conditionalFormatting sqref="A13:G212">
    <cfRule type="expression" priority="1" dxfId="10">
      <formula>MOD(ROW(),2)=1</formula>
    </cfRule>
  </conditionalFormatting>
  <conditionalFormatting sqref="H13:H212">
    <cfRule type="cellIs" priority="2" operator="equal" dxfId="36">
      <formula>"Yes"</formula>
    </cfRule>
    <cfRule type="cellIs" priority="3" operator="equal" dxfId="37">
      <formula>"No (personal)"</formula>
    </cfRule>
    <cfRule type="cellIs" priority="4" operator="equal" dxfId="38">
      <formula>"Partial - ask CPA"</formula>
    </cfRule>
  </conditionalFormatting>
  <dataValidations count="3">
    <dataValidation sqref="F13:F212" showDropDown="0" showInputMessage="0" showErrorMessage="1" allowBlank="1" type="list">
      <formula1>"Cash,Debit Card,Credit Card,PayPal,Venmo,Bank Transfer,Other"</formula1>
    </dataValidation>
    <dataValidation sqref="H13:H212" showDropDown="0" showInputMessage="0" showErrorMessage="0" allowBlank="1" type="list">
      <formula1>"Yes,No (personal),Partial - ask CPA"</formula1>
    </dataValidation>
    <dataValidation sqref="C13:C212" showDropDown="0" showInputMessage="0" showErrorMessage="0" allowBlank="1" type="list">
      <formula1>"Materials &amp; Product Supplies,Packaging,Shipping &amp; Postage,Insurance,Marketing &amp; Ads,Website &amp; Software,Business Fees &amp; Licenses,Equipment Repairs,Travel,Meals &amp; Entertainment (50%),Other"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2E8B57"/>
    <outlinePr summaryBelow="1" summaryRight="1"/>
    <pageSetUpPr/>
  </sheetPr>
  <dimension ref="A1:I309"/>
  <sheetViews>
    <sheetView tabSelected="1" workbookViewId="0">
      <pane ySplit="13" topLeftCell="A31" activePane="bottomLeft" state="frozen"/>
      <selection pane="bottomLeft" activeCell="A36" sqref="A36"/>
    </sheetView>
  </sheetViews>
  <sheetFormatPr baseColWidth="8" defaultRowHeight="14.4"/>
  <cols>
    <col width="13" customWidth="1" style="69" min="1" max="1"/>
    <col width="20" customWidth="1" style="69" min="2" max="2"/>
    <col width="29.6640625" customWidth="1" style="69" min="3" max="3"/>
    <col width="30" customWidth="1" style="69" min="4" max="4"/>
    <col width="13" customWidth="1" style="69" min="5" max="5"/>
    <col width="11" customWidth="1" style="69" min="6" max="6"/>
    <col width="13" customWidth="1" style="69" min="7" max="7"/>
    <col width="11" customWidth="1" style="69" min="8" max="8"/>
    <col width="28" customWidth="1" style="69" min="9" max="9"/>
  </cols>
  <sheetData>
    <row r="1" ht="26.1" customHeight="1" s="69">
      <c r="A1" s="68" t="inlineStr">
        <is>
          <t>Funding — Kickstarter, Donations &amp; Startup Money</t>
        </is>
      </c>
    </row>
    <row r="2" ht="15.9" customHeight="1" s="69">
      <c r="A2" s="70" t="inlineStr">
        <is>
          <t>Every dollar you raise to get BOYNT off the ground, and how close you are to your Kickstarter goal.</t>
        </is>
      </c>
    </row>
    <row r="4" ht="14.1" customHeight="1" s="69">
      <c r="A4" s="12" t="inlineStr">
        <is>
          <t>WHAT THIS TAB IS FOR:  tracking startup money you RAISE (not money you earn from regular sales — that's the Sales Log).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 ht="14.1" customHeight="1" s="69">
      <c r="A5" s="13" t="inlineStr">
        <is>
          <t>WHAT GOES HERE (one row per pledge/donation):  the date, the Type (dropdown), who it came from, what reward tier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 ht="14.1" customHeight="1" s="69">
      <c r="A6" s="13" t="inlineStr">
        <is>
          <t>they picked (for Kickstarter), the Gross Amount pledged, and any platform Fees. Net Amount calculates itself.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 ht="14.1" customHeight="1" s="69">
      <c r="A7" s="13" t="inlineStr">
        <is>
          <t>FEES:  Kickstarter keeps ~5% plus ~3-5% payment processing. Enter the actual fee so your Net is what really hits your bank.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 ht="14.1" customHeight="1" s="69">
      <c r="A8" s="13" t="inlineStr">
        <is>
          <t>RECEIVED?:  Kickstarter only pays out if the campaign succeeds, and donations can be promised before they arrive —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 ht="14.1" customHeight="1" s="69">
      <c r="A9" s="13" t="inlineStr">
        <is>
          <t>set Yes only once the money is actually yours. Set your Kickstarter Goal below and watch % of Goal climb.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1">
      <c r="A11" s="3" t="inlineStr">
        <is>
          <t>Kickstarter Goal:</t>
        </is>
      </c>
      <c r="B11" s="38" t="n">
        <v>30000</v>
      </c>
      <c r="C11" s="3" t="inlineStr">
        <is>
          <t>Raised toward goal (KS net):</t>
        </is>
      </c>
      <c r="D11" s="33">
        <f>SUMIFS(G14:G308,B14:B308,"Kickstarter Pledge")</f>
        <v/>
      </c>
      <c r="E11" s="3" t="inlineStr">
        <is>
          <t>% of Goal:</t>
        </is>
      </c>
      <c r="F11" s="39">
        <f>IF($B$11=0,"",$D$11/$B$11)</f>
        <v/>
      </c>
    </row>
    <row r="13" ht="27.9" customHeight="1" s="69">
      <c r="A13" s="23" t="inlineStr">
        <is>
          <t>Date</t>
        </is>
      </c>
      <c r="B13" s="23" t="inlineStr">
        <is>
          <t>Type</t>
        </is>
      </c>
      <c r="C13" s="23" t="inlineStr">
        <is>
          <t>From (Backer / Donor)</t>
        </is>
      </c>
      <c r="D13" s="23" t="inlineStr">
        <is>
          <t>Description / Reward Tier</t>
        </is>
      </c>
      <c r="E13" s="23" t="inlineStr">
        <is>
          <t>Gross Amount</t>
        </is>
      </c>
      <c r="F13" s="23" t="inlineStr">
        <is>
          <t>Fees</t>
        </is>
      </c>
      <c r="G13" s="23" t="inlineStr">
        <is>
          <t>Net Amount (auto)</t>
        </is>
      </c>
      <c r="H13" s="23" t="inlineStr">
        <is>
          <t>Received?</t>
        </is>
      </c>
      <c r="I13" s="23" t="inlineStr">
        <is>
          <t>Notes</t>
        </is>
      </c>
    </row>
    <row r="14">
      <c r="A14" s="35" t="n">
        <v>46133</v>
      </c>
      <c r="B14" s="9" t="inlineStr">
        <is>
          <t>Grant</t>
        </is>
      </c>
      <c r="C14" s="9" t="inlineStr">
        <is>
          <t>IVC</t>
        </is>
      </c>
      <c r="D14" s="45" t="inlineStr">
        <is>
          <t>NA</t>
        </is>
      </c>
      <c r="E14" s="24" t="n">
        <v>3000</v>
      </c>
      <c r="F14" s="24" t="n">
        <v>0</v>
      </c>
      <c r="G14" s="25">
        <f>IF(E14="","",E14-N(F14))</f>
        <v/>
      </c>
      <c r="H14" s="9" t="inlineStr">
        <is>
          <t>Yes</t>
        </is>
      </c>
      <c r="I14" s="45" t="n"/>
    </row>
    <row r="15">
      <c r="A15" s="35" t="n">
        <v>46210</v>
      </c>
      <c r="B15" s="9" t="inlineStr">
        <is>
          <t>Donation</t>
        </is>
      </c>
      <c r="C15" s="9" t="inlineStr">
        <is>
          <t>Grandma</t>
        </is>
      </c>
      <c r="D15" s="45" t="n"/>
      <c r="E15" s="24" t="n">
        <v>100</v>
      </c>
      <c r="F15" s="24" t="n">
        <v>0</v>
      </c>
      <c r="G15" s="25">
        <f>IF(E15="","",E15-N(F15))</f>
        <v/>
      </c>
      <c r="H15" s="9" t="inlineStr">
        <is>
          <t>Yes</t>
        </is>
      </c>
      <c r="I15" s="45" t="inlineStr">
        <is>
          <t>Geemom gave cash</t>
        </is>
      </c>
    </row>
    <row r="16">
      <c r="A16" s="35" t="n">
        <v>46216</v>
      </c>
      <c r="B16" s="9" t="inlineStr">
        <is>
          <t>Personal Money In</t>
        </is>
      </c>
      <c r="C16" s="9" t="inlineStr">
        <is>
          <t>Investing</t>
        </is>
      </c>
      <c r="D16" s="45" t="n"/>
      <c r="E16" s="24" t="n">
        <v>18</v>
      </c>
      <c r="F16" s="24" t="n"/>
      <c r="G16" s="25">
        <f>IF(E16="","",E16-N(F16))</f>
        <v/>
      </c>
      <c r="H16" s="9" t="inlineStr">
        <is>
          <t>Yes</t>
        </is>
      </c>
      <c r="I16" s="45" t="n"/>
    </row>
    <row r="17" ht="60" customHeight="1" s="69">
      <c r="A17" s="35" t="n">
        <v>46210</v>
      </c>
      <c r="B17" s="9" t="inlineStr">
        <is>
          <t>Personal Money In</t>
        </is>
      </c>
      <c r="C17" s="9" t="inlineStr">
        <is>
          <t>Zach (personal cash)</t>
        </is>
      </c>
      <c r="D17" s="45" t="inlineStr">
        <is>
          <t>Covered USPS box to Jack with personal cash</t>
        </is>
      </c>
      <c r="E17" s="24" t="n">
        <v>23.48</v>
      </c>
      <c r="F17" s="24" t="n">
        <v>0</v>
      </c>
      <c r="G17" s="25">
        <f>IF(E17="","",E17-N(F17))</f>
        <v/>
      </c>
      <c r="H17" s="9" t="inlineStr">
        <is>
          <t>Yes</t>
        </is>
      </c>
      <c r="I17" s="45" t="inlineStr">
        <is>
          <t>Matches the $23.48 cash expense on Operating Costs — keeps sheet even with bank</t>
        </is>
      </c>
    </row>
    <row r="18">
      <c r="A18" s="35" t="n">
        <v>46210</v>
      </c>
      <c r="B18" s="9" t="inlineStr">
        <is>
          <t>Kickstarter Pledge</t>
        </is>
      </c>
      <c r="C18" s="9" t="inlineStr">
        <is>
          <t>Kickstarter (Zach)</t>
        </is>
      </c>
      <c r="D18" s="45" t="inlineStr">
        <is>
          <t>Just donation</t>
        </is>
      </c>
      <c r="E18" s="24" t="n">
        <v>110</v>
      </c>
      <c r="F18" s="24" t="n"/>
      <c r="G18" s="25">
        <f>IF(E18="","",E18-N(F18))</f>
        <v/>
      </c>
      <c r="H18" s="9" t="inlineStr">
        <is>
          <t>No</t>
        </is>
      </c>
      <c r="I18" s="45" t="n"/>
    </row>
    <row r="19" ht="30" customHeight="1" s="69">
      <c r="A19" s="35" t="n">
        <v>46210</v>
      </c>
      <c r="B19" s="9" t="inlineStr">
        <is>
          <t>Kickstarter Pledge</t>
        </is>
      </c>
      <c r="C19" s="9" t="inlineStr">
        <is>
          <t>Kickstarter (Tzvi Alexander Lowy)</t>
        </is>
      </c>
      <c r="D19" s="45" t="inlineStr">
        <is>
          <t>First Wave ( 1 of Any Pair) + Shipping</t>
        </is>
      </c>
      <c r="E19" s="24" t="n">
        <v>50</v>
      </c>
      <c r="F19" s="24" t="n">
        <v>5</v>
      </c>
      <c r="G19" s="25">
        <f>IF(E19="","",E19-N(F19))</f>
        <v/>
      </c>
      <c r="H19" s="9" t="inlineStr">
        <is>
          <t>No</t>
        </is>
      </c>
      <c r="I19" s="45" t="n"/>
    </row>
    <row r="20" ht="30" customHeight="1" s="69">
      <c r="A20" s="35" t="n">
        <v>46210</v>
      </c>
      <c r="B20" s="9" t="inlineStr">
        <is>
          <t>Kickstarter Pledge</t>
        </is>
      </c>
      <c r="C20" s="9" t="inlineStr">
        <is>
          <t>kicstarter (Ryne)</t>
        </is>
      </c>
      <c r="D20" s="45" t="inlineStr">
        <is>
          <t>First Wave ( 1 of Any Pair) + Shipping</t>
        </is>
      </c>
      <c r="E20" s="24" t="n">
        <v>50</v>
      </c>
      <c r="F20" s="24" t="n">
        <v>5</v>
      </c>
      <c r="G20" s="25">
        <f>IF(E20="","",E20-N(F20))</f>
        <v/>
      </c>
      <c r="H20" s="9" t="inlineStr">
        <is>
          <t>No</t>
        </is>
      </c>
      <c r="I20" s="45" t="n"/>
    </row>
    <row r="21" ht="30" customHeight="1" s="69">
      <c r="A21" s="35" t="n">
        <v>46210</v>
      </c>
      <c r="B21" s="9" t="inlineStr">
        <is>
          <t>Kickstarter Pledge</t>
        </is>
      </c>
      <c r="C21" s="9" t="inlineStr">
        <is>
          <t>Kickstarter (David)</t>
        </is>
      </c>
      <c r="D21" s="45" t="inlineStr">
        <is>
          <t>NA</t>
        </is>
      </c>
      <c r="E21" s="24" t="n">
        <v>1</v>
      </c>
      <c r="F21" s="24" t="n"/>
      <c r="G21" s="25">
        <f>IF(E21="","",E21-N(F21))</f>
        <v/>
      </c>
      <c r="H21" s="9" t="inlineStr">
        <is>
          <t>No</t>
        </is>
      </c>
      <c r="I21" s="45" t="inlineStr">
        <is>
          <t>Just wanted to advertise his service on my account</t>
        </is>
      </c>
    </row>
    <row r="22" ht="30" customHeight="1" s="69">
      <c r="A22" s="35" t="n">
        <v>46211</v>
      </c>
      <c r="B22" s="9" t="inlineStr">
        <is>
          <t>Kickstarter Pledge</t>
        </is>
      </c>
      <c r="C22" s="9" t="inlineStr">
        <is>
          <t>Kickstarter (Nicholas Coffey)</t>
        </is>
      </c>
      <c r="D22" s="45" t="inlineStr">
        <is>
          <t>First Wave ( 1 of Any Pair) + Shipping</t>
        </is>
      </c>
      <c r="E22" s="24" t="n">
        <v>50</v>
      </c>
      <c r="F22" s="24" t="n">
        <v>5</v>
      </c>
      <c r="G22" s="25">
        <f>IF(E22="","",E22-N(F22))</f>
        <v/>
      </c>
      <c r="H22" s="9" t="inlineStr">
        <is>
          <t>No</t>
        </is>
      </c>
      <c r="I22" s="45" t="n"/>
    </row>
    <row r="23">
      <c r="A23" s="35" t="n">
        <v>46211</v>
      </c>
      <c r="B23" s="9" t="inlineStr">
        <is>
          <t>Kickstarter Pledge</t>
        </is>
      </c>
      <c r="C23" s="9" t="inlineStr">
        <is>
          <t>Kickstarter (Hanna Brisson)</t>
        </is>
      </c>
      <c r="D23" s="45" t="inlineStr">
        <is>
          <t>NA</t>
        </is>
      </c>
      <c r="E23" s="24" t="n">
        <v>5</v>
      </c>
      <c r="F23" s="24" t="n"/>
      <c r="G23" s="25">
        <f>IF(E23="","",E23-N(F23))</f>
        <v/>
      </c>
      <c r="H23" s="9" t="inlineStr">
        <is>
          <t>No</t>
        </is>
      </c>
      <c r="I23" s="45" t="inlineStr">
        <is>
          <t>She just left a donation</t>
        </is>
      </c>
    </row>
    <row r="24" ht="30" customHeight="1" s="69">
      <c r="A24" s="35" t="n">
        <v>46212</v>
      </c>
      <c r="B24" s="9" t="inlineStr">
        <is>
          <t>Kickstarter Pledge</t>
        </is>
      </c>
      <c r="C24" s="9" t="inlineStr">
        <is>
          <t>Kickstarter (Patrick Rager)</t>
        </is>
      </c>
      <c r="D24" s="45" t="inlineStr">
        <is>
          <t>Two Pairs - Mix &amp; Match + Shipping</t>
        </is>
      </c>
      <c r="E24" s="24" t="n">
        <v>100</v>
      </c>
      <c r="F24" s="24" t="n">
        <v>5</v>
      </c>
      <c r="G24" s="25">
        <f>IF(E24="","",E24-N(F24))</f>
        <v/>
      </c>
      <c r="H24" s="9" t="inlineStr">
        <is>
          <t>No</t>
        </is>
      </c>
      <c r="I24" s="45" t="n"/>
    </row>
    <row r="25" ht="30" customHeight="1" s="69">
      <c r="A25" s="35" t="n">
        <v>46212</v>
      </c>
      <c r="B25" s="9" t="inlineStr">
        <is>
          <t>Kickstarter Pledge</t>
        </is>
      </c>
      <c r="C25" s="9" t="inlineStr">
        <is>
          <t>Kickstarter (Joy Brisson)</t>
        </is>
      </c>
      <c r="D25" s="45" t="inlineStr">
        <is>
          <t>Foundes Edition + Shipping + Bonus</t>
        </is>
      </c>
      <c r="E25" s="24" t="n">
        <v>250</v>
      </c>
      <c r="F25" s="24" t="n">
        <v>10</v>
      </c>
      <c r="G25" s="25">
        <f>IF(E25="","",E25-N(F25))</f>
        <v/>
      </c>
      <c r="H25" s="9" t="inlineStr">
        <is>
          <t>No</t>
        </is>
      </c>
      <c r="I25" s="45" t="n"/>
    </row>
    <row r="26">
      <c r="A26" s="57" t="n">
        <v>46213</v>
      </c>
      <c r="B26" s="58" t="inlineStr">
        <is>
          <t>Kickstarter Pledge</t>
        </is>
      </c>
      <c r="C26" s="58" t="inlineStr">
        <is>
          <t>Kickstarter (Uncle Jeff)</t>
        </is>
      </c>
      <c r="D26" s="59" t="inlineStr">
        <is>
          <t>Sticker Pack</t>
        </is>
      </c>
      <c r="E26" s="56" t="n">
        <v>25</v>
      </c>
      <c r="F26" s="56" t="n"/>
      <c r="G26" s="66">
        <f>IF(E26="","",E26-N(F26))</f>
        <v/>
      </c>
      <c r="H26" s="58" t="inlineStr">
        <is>
          <t>Yes</t>
        </is>
      </c>
      <c r="I26" s="59" t="inlineStr">
        <is>
          <t>Zelled money over</t>
        </is>
      </c>
    </row>
    <row r="27">
      <c r="A27" s="35" t="n">
        <v>46214</v>
      </c>
      <c r="B27" s="9" t="inlineStr">
        <is>
          <t>Kickstarter Pledge</t>
        </is>
      </c>
      <c r="C27" s="9" t="inlineStr">
        <is>
          <t>Kickstarter (Papaw)</t>
        </is>
      </c>
      <c r="D27" s="45" t="inlineStr">
        <is>
          <t>Founder Delivers Edition</t>
        </is>
      </c>
      <c r="E27" s="24" t="n">
        <v>1500</v>
      </c>
      <c r="F27" s="24" t="n"/>
      <c r="G27" s="25">
        <f>IF(E27="","",E27-N(F27))</f>
        <v/>
      </c>
      <c r="H27" s="9" t="inlineStr">
        <is>
          <t>No</t>
        </is>
      </c>
      <c r="I27" s="45" t="n"/>
    </row>
    <row r="28" ht="30" customHeight="1" s="69">
      <c r="A28" s="35" t="n">
        <v>46214</v>
      </c>
      <c r="B28" s="9" t="inlineStr">
        <is>
          <t>Kickstarter Pledge</t>
        </is>
      </c>
      <c r="C28" s="9" t="inlineStr">
        <is>
          <t>Kickstarter (Adam Carson)</t>
        </is>
      </c>
      <c r="D28" s="45" t="inlineStr">
        <is>
          <t>Two Pairs - Mix &amp; Match + Shipping</t>
        </is>
      </c>
      <c r="E28" s="24" t="n">
        <v>100</v>
      </c>
      <c r="F28" s="24" t="n">
        <v>5</v>
      </c>
      <c r="G28" s="25">
        <f>IF(E28="","",E28-N(F28))</f>
        <v/>
      </c>
      <c r="H28" s="9" t="inlineStr">
        <is>
          <t>No</t>
        </is>
      </c>
      <c r="I28" s="45" t="n"/>
    </row>
    <row r="29">
      <c r="A29" s="35" t="n">
        <v>46218</v>
      </c>
      <c r="B29" s="9" t="inlineStr">
        <is>
          <t>Kickstarter Pledge</t>
        </is>
      </c>
      <c r="C29" s="9" t="inlineStr">
        <is>
          <t>Kickstarter (Scott DQ)</t>
        </is>
      </c>
      <c r="D29" s="45" t="inlineStr">
        <is>
          <t>Two Pairs - Mix &amp; Match + Shipping</t>
        </is>
      </c>
      <c r="E29" s="24" t="n">
        <v>100</v>
      </c>
      <c r="F29" s="24" t="n">
        <v>5</v>
      </c>
      <c r="G29" s="25">
        <f>IF(E29="","",E29-N(F29))</f>
        <v/>
      </c>
      <c r="H29" s="9" t="inlineStr">
        <is>
          <t>No</t>
        </is>
      </c>
      <c r="I29" s="45" t="n"/>
    </row>
    <row r="30" ht="28.8" customHeight="1" s="69">
      <c r="A30" s="35" t="n">
        <v>46218</v>
      </c>
      <c r="B30" s="9" t="inlineStr">
        <is>
          <t>Kickstarter Pledge</t>
        </is>
      </c>
      <c r="C30" s="9" t="inlineStr">
        <is>
          <t>Kickstarer (Dylan Eberly)</t>
        </is>
      </c>
      <c r="D30" s="45" t="inlineStr">
        <is>
          <t>First Wave ( 1 of Any Pair) + Shipping</t>
        </is>
      </c>
      <c r="E30" s="24" t="n">
        <v>50</v>
      </c>
      <c r="F30" s="24" t="n">
        <v>5</v>
      </c>
      <c r="G30" s="25">
        <f>IF(E30="","",E30-N(F30))</f>
        <v/>
      </c>
      <c r="H30" s="9" t="inlineStr">
        <is>
          <t>No</t>
        </is>
      </c>
      <c r="I30" s="45" t="n"/>
    </row>
    <row r="31" ht="28.8" customHeight="1" s="69">
      <c r="A31" s="35" t="n">
        <v>46218</v>
      </c>
      <c r="B31" s="9" t="inlineStr">
        <is>
          <t>Kickstarter Pledge</t>
        </is>
      </c>
      <c r="C31" s="9" t="inlineStr">
        <is>
          <t>Kickstarter (Diane Dennies)</t>
        </is>
      </c>
      <c r="D31" s="45" t="inlineStr">
        <is>
          <t>First Wave ( 1 of Any Pair) + Shipping</t>
        </is>
      </c>
      <c r="E31" s="24" t="n">
        <v>50</v>
      </c>
      <c r="F31" s="24" t="n">
        <v>5</v>
      </c>
      <c r="G31" s="25">
        <f>IF(E31="","",E31-N(F31))</f>
        <v/>
      </c>
      <c r="H31" s="9" t="inlineStr">
        <is>
          <t>No</t>
        </is>
      </c>
      <c r="I31" s="45" t="n"/>
    </row>
    <row r="32">
      <c r="A32" s="35" t="n">
        <v>46219</v>
      </c>
      <c r="B32" s="9" t="inlineStr">
        <is>
          <t>Kickstarter Pledge</t>
        </is>
      </c>
      <c r="C32" s="9" t="inlineStr">
        <is>
          <t>Kickstarter (Sarah Dennies)</t>
        </is>
      </c>
      <c r="D32" s="45" t="inlineStr">
        <is>
          <t>Two Pairs - Mix &amp; Match + Shipping</t>
        </is>
      </c>
      <c r="E32" s="24" t="n">
        <v>115</v>
      </c>
      <c r="F32" s="24" t="n">
        <v>5</v>
      </c>
      <c r="G32" s="25">
        <f>IF(E32="","",E32-N(F32))</f>
        <v/>
      </c>
      <c r="H32" s="9" t="inlineStr">
        <is>
          <t>No</t>
        </is>
      </c>
      <c r="I32" s="45" t="n"/>
    </row>
    <row r="33">
      <c r="A33" s="35" t="n">
        <v>46223</v>
      </c>
      <c r="B33" s="9" t="inlineStr">
        <is>
          <t>Kickstarter Pledge</t>
        </is>
      </c>
      <c r="C33" s="9" t="inlineStr">
        <is>
          <t>Kickstarter (Duane Brisson)</t>
        </is>
      </c>
      <c r="D33" s="45" t="inlineStr">
        <is>
          <t>NA</t>
        </is>
      </c>
      <c r="E33" s="24" t="n">
        <v>150</v>
      </c>
      <c r="F33" s="24" t="n">
        <v>0</v>
      </c>
      <c r="G33" s="25">
        <f>IF(E33="","",E33-N(F33))</f>
        <v/>
      </c>
      <c r="H33" s="9" t="inlineStr">
        <is>
          <t>No</t>
        </is>
      </c>
      <c r="I33" s="45" t="n"/>
    </row>
    <row r="34" ht="28.8" customHeight="1" s="69">
      <c r="A34" s="35" t="n">
        <v>46223</v>
      </c>
      <c r="B34" s="9" t="inlineStr">
        <is>
          <t>Kickstarter Pledge</t>
        </is>
      </c>
      <c r="C34" s="9" t="inlineStr">
        <is>
          <t>Kickstarter (Lisa Whiting)</t>
        </is>
      </c>
      <c r="D34" s="45" t="inlineStr">
        <is>
          <t>First Wave ( 1 of Any Pair) + Shipping</t>
        </is>
      </c>
      <c r="E34" s="24" t="n">
        <v>55</v>
      </c>
      <c r="F34" s="24" t="n">
        <v>5</v>
      </c>
      <c r="G34" s="25">
        <f>IF(E34="","",E34-N(F34))</f>
        <v/>
      </c>
      <c r="H34" s="9" t="inlineStr">
        <is>
          <t>No</t>
        </is>
      </c>
      <c r="I34" s="45" t="n"/>
    </row>
    <row r="35" ht="28.8" customHeight="1" s="69">
      <c r="A35" s="35" t="n">
        <v>46225</v>
      </c>
      <c r="B35" s="9" t="inlineStr">
        <is>
          <t>Kickstarter Pledge</t>
        </is>
      </c>
      <c r="C35" s="9" t="inlineStr">
        <is>
          <t>Kickstarter (Mary Makowski)</t>
        </is>
      </c>
      <c r="D35" s="45" t="inlineStr">
        <is>
          <t>First Wave ( 1 of Any Pair) + Shipping</t>
        </is>
      </c>
      <c r="E35" s="24" t="n">
        <v>50</v>
      </c>
      <c r="F35" s="24" t="n">
        <v>5</v>
      </c>
      <c r="G35" s="25">
        <f>IF(E35="","",E35-N(F35))</f>
        <v/>
      </c>
      <c r="H35" s="9" t="inlineStr">
        <is>
          <t>No</t>
        </is>
      </c>
      <c r="I35" s="45" t="n"/>
    </row>
    <row r="36">
      <c r="A36" s="35" t="n">
        <v>46226</v>
      </c>
      <c r="B36" s="9" t="inlineStr">
        <is>
          <t>Personal Money In</t>
        </is>
      </c>
      <c r="C36" s="9" t="inlineStr">
        <is>
          <t>Selling Investment</t>
        </is>
      </c>
      <c r="D36" s="45" t="inlineStr">
        <is>
          <t>NA</t>
        </is>
      </c>
      <c r="E36" s="24" t="n">
        <v>1000</v>
      </c>
      <c r="F36" s="24" t="n">
        <v>0</v>
      </c>
      <c r="G36" s="25">
        <f>IF(E36="","",E36-N(F36))</f>
        <v/>
      </c>
      <c r="H36" s="9" t="inlineStr">
        <is>
          <t>Yes</t>
        </is>
      </c>
      <c r="I36" s="45" t="inlineStr">
        <is>
          <t>Proceeds from selling an investment - moved into the business account</t>
        </is>
      </c>
    </row>
    <row r="37">
      <c r="A37" s="35" t="n">
        <v>46224</v>
      </c>
      <c r="B37" s="9" t="inlineStr">
        <is>
          <t>Personal Money In</t>
        </is>
      </c>
      <c r="C37" s="9" t="inlineStr">
        <is>
          <t>Zach (ATM cash deposit)</t>
        </is>
      </c>
      <c r="D37" s="45" t="inlineStr">
        <is>
          <t>Cash deposited at ATM</t>
        </is>
      </c>
      <c r="E37" s="24" t="n">
        <v>62</v>
      </c>
      <c r="F37" s="24" t="n">
        <v>0</v>
      </c>
      <c r="G37" s="25">
        <f>IF(E37="","",E37-N(F37))</f>
        <v/>
      </c>
      <c r="H37" s="9" t="inlineStr">
        <is>
          <t>Yes</t>
        </is>
      </c>
      <c r="I37" s="45" t="inlineStr">
        <is>
          <t>*** CONFIRM *** whose money was this? If someone gave it to BOYNT, change Type to Donation</t>
        </is>
      </c>
    </row>
    <row r="38">
      <c r="A38" s="35" t="n">
        <v>46230</v>
      </c>
      <c r="B38" s="9" t="inlineStr">
        <is>
          <t>Personal Money In</t>
        </is>
      </c>
      <c r="C38" s="9" t="inlineStr">
        <is>
          <t>Transfer from personal account</t>
        </is>
      </c>
      <c r="D38" s="45" t="inlineStr">
        <is>
          <t>Wire into business account</t>
        </is>
      </c>
      <c r="E38" s="24" t="n">
        <v>350</v>
      </c>
      <c r="F38" s="24" t="n">
        <v>0</v>
      </c>
      <c r="G38" s="25">
        <f>IF(E38="","",E38-N(F38))</f>
        <v/>
      </c>
      <c r="H38" s="9" t="inlineStr">
        <is>
          <t>Yes</t>
        </is>
      </c>
      <c r="I38" s="45" t="inlineStr">
        <is>
          <t>*** CONFIRM *** source of this wire</t>
        </is>
      </c>
    </row>
    <row r="39">
      <c r="A39" s="35" t="n">
        <v>46240</v>
      </c>
      <c r="B39" s="9" t="inlineStr">
        <is>
          <t>Personal Money In</t>
        </is>
      </c>
      <c r="C39" s="9" t="inlineStr">
        <is>
          <t>Mobile check deposit</t>
        </is>
      </c>
      <c r="D39" s="45" t="inlineStr">
        <is>
          <t>Check deposited by phone</t>
        </is>
      </c>
      <c r="E39" s="24" t="n">
        <v>100</v>
      </c>
      <c r="F39" s="24" t="n">
        <v>0</v>
      </c>
      <c r="G39" s="25">
        <f>IF(E39="","",E39-N(F39))</f>
        <v/>
      </c>
      <c r="H39" s="9" t="inlineStr">
        <is>
          <t>Yes</t>
        </is>
      </c>
      <c r="I39" s="45" t="inlineStr">
        <is>
          <t>*** CONFIRM *** who wrote the check? If it was a gift to BOYNT, change Type to Donation</t>
        </is>
      </c>
    </row>
    <row r="40">
      <c r="A40" s="35" t="n">
        <v>46240</v>
      </c>
      <c r="B40" s="9" t="inlineStr">
        <is>
          <t>Personal Money In</t>
        </is>
      </c>
      <c r="C40" s="9" t="inlineStr">
        <is>
          <t>Transfer from personal account</t>
        </is>
      </c>
      <c r="D40" s="45" t="inlineStr">
        <is>
          <t>Wire into business account</t>
        </is>
      </c>
      <c r="E40" s="24" t="n">
        <v>67</v>
      </c>
      <c r="F40" s="24" t="n">
        <v>0</v>
      </c>
      <c r="G40" s="25">
        <f>IF(E40="","",E40-N(F40))</f>
        <v/>
      </c>
      <c r="H40" s="9" t="inlineStr">
        <is>
          <t>Yes</t>
        </is>
      </c>
      <c r="I40" s="45" t="inlineStr">
        <is>
          <t>*** CONFIRM *** source of this wire</t>
        </is>
      </c>
    </row>
    <row r="41">
      <c r="A41" s="35" t="n"/>
      <c r="B41" s="9" t="n"/>
      <c r="C41" s="9" t="n"/>
      <c r="D41" s="45" t="n"/>
      <c r="E41" s="24" t="n"/>
      <c r="F41" s="24" t="n"/>
      <c r="G41" s="25">
        <f>IF(E41="","",E41-N(F41))</f>
        <v/>
      </c>
      <c r="H41" s="9" t="n"/>
      <c r="I41" s="45" t="n"/>
    </row>
    <row r="42">
      <c r="A42" s="35" t="n"/>
      <c r="B42" s="9" t="n"/>
      <c r="C42" s="9" t="n"/>
      <c r="D42" s="45" t="n"/>
      <c r="E42" s="24" t="n"/>
      <c r="F42" s="24" t="n"/>
      <c r="G42" s="25">
        <f>IF(E42="","",E42-N(F42))</f>
        <v/>
      </c>
      <c r="H42" s="9" t="n"/>
      <c r="I42" s="45" t="n"/>
    </row>
    <row r="43">
      <c r="A43" s="35" t="n"/>
      <c r="B43" s="9" t="n"/>
      <c r="C43" s="9" t="n"/>
      <c r="D43" s="45" t="n"/>
      <c r="E43" s="24" t="n"/>
      <c r="F43" s="24" t="n"/>
      <c r="G43" s="25">
        <f>IF(E43="","",E43-N(F43))</f>
        <v/>
      </c>
      <c r="H43" s="9" t="n"/>
      <c r="I43" s="45" t="n"/>
    </row>
    <row r="44">
      <c r="A44" s="35" t="n"/>
      <c r="B44" s="9" t="n"/>
      <c r="C44" s="9" t="n"/>
      <c r="D44" s="45" t="n"/>
      <c r="E44" s="24" t="n"/>
      <c r="F44" s="24" t="n"/>
      <c r="G44" s="25">
        <f>IF(E44="","",E44-N(F44))</f>
        <v/>
      </c>
      <c r="H44" s="9" t="n"/>
      <c r="I44" s="45" t="n"/>
    </row>
    <row r="45">
      <c r="A45" s="35" t="n"/>
      <c r="B45" s="9" t="n"/>
      <c r="C45" s="9" t="n"/>
      <c r="D45" s="45" t="n"/>
      <c r="E45" s="24" t="n"/>
      <c r="F45" s="24" t="n"/>
      <c r="G45" s="25">
        <f>IF(E45="","",E45-N(F45))</f>
        <v/>
      </c>
      <c r="H45" s="9" t="n"/>
      <c r="I45" s="45" t="n"/>
    </row>
    <row r="46">
      <c r="A46" s="35" t="n"/>
      <c r="B46" s="9" t="n"/>
      <c r="C46" s="9" t="n"/>
      <c r="D46" s="45" t="n"/>
      <c r="E46" s="24" t="n"/>
      <c r="F46" s="24" t="n"/>
      <c r="G46" s="25">
        <f>IF(E46="","",E46-N(F46))</f>
        <v/>
      </c>
      <c r="H46" s="9" t="n"/>
      <c r="I46" s="45" t="n"/>
    </row>
    <row r="47">
      <c r="A47" s="35" t="n"/>
      <c r="B47" s="9" t="n"/>
      <c r="C47" s="9" t="n"/>
      <c r="D47" s="45" t="n"/>
      <c r="E47" s="24" t="n"/>
      <c r="F47" s="24" t="n"/>
      <c r="G47" s="25">
        <f>IF(E47="","",E47-N(F47))</f>
        <v/>
      </c>
      <c r="H47" s="9" t="n"/>
      <c r="I47" s="45" t="n"/>
    </row>
    <row r="48">
      <c r="A48" s="35" t="n"/>
      <c r="B48" s="9" t="n"/>
      <c r="C48" s="9" t="n"/>
      <c r="D48" s="45" t="n"/>
      <c r="E48" s="24" t="n"/>
      <c r="F48" s="24" t="n"/>
      <c r="G48" s="25">
        <f>IF(E48="","",E48-N(F48))</f>
        <v/>
      </c>
      <c r="H48" s="9" t="n"/>
      <c r="I48" s="45" t="n"/>
    </row>
    <row r="49">
      <c r="A49" s="35" t="n"/>
      <c r="B49" s="9" t="n"/>
      <c r="C49" s="9" t="n"/>
      <c r="D49" s="45" t="n"/>
      <c r="E49" s="24" t="n"/>
      <c r="F49" s="24" t="n"/>
      <c r="G49" s="25">
        <f>IF(E49="","",E49-N(F49))</f>
        <v/>
      </c>
      <c r="H49" s="9" t="n"/>
      <c r="I49" s="45" t="n"/>
    </row>
    <row r="50">
      <c r="A50" s="35" t="n"/>
      <c r="B50" s="9" t="n"/>
      <c r="C50" s="9" t="n"/>
      <c r="D50" s="45" t="n"/>
      <c r="E50" s="24" t="n"/>
      <c r="F50" s="24" t="n"/>
      <c r="G50" s="25">
        <f>IF(E50="","",E50-N(F50))</f>
        <v/>
      </c>
      <c r="H50" s="9" t="n"/>
      <c r="I50" s="45" t="n"/>
    </row>
    <row r="51">
      <c r="A51" s="35" t="n"/>
      <c r="B51" s="9" t="n"/>
      <c r="C51" s="9" t="n"/>
      <c r="D51" s="45" t="n"/>
      <c r="E51" s="24" t="n"/>
      <c r="F51" s="24" t="n"/>
      <c r="G51" s="25">
        <f>IF(E51="","",E51-N(F51))</f>
        <v/>
      </c>
      <c r="H51" s="9" t="n"/>
      <c r="I51" s="45" t="n"/>
    </row>
    <row r="52">
      <c r="A52" s="35" t="n"/>
      <c r="B52" s="9" t="n"/>
      <c r="C52" s="9" t="n"/>
      <c r="D52" s="45" t="n"/>
      <c r="E52" s="24" t="n"/>
      <c r="F52" s="24" t="n"/>
      <c r="G52" s="25">
        <f>IF(E52="","",E52-N(F52))</f>
        <v/>
      </c>
      <c r="H52" s="9" t="n"/>
      <c r="I52" s="45" t="n"/>
    </row>
    <row r="53">
      <c r="A53" s="35" t="n"/>
      <c r="B53" s="9" t="n"/>
      <c r="C53" s="9" t="n"/>
      <c r="D53" s="45" t="n"/>
      <c r="E53" s="24" t="n"/>
      <c r="F53" s="24" t="n"/>
      <c r="G53" s="25">
        <f>IF(E53="","",E53-N(F53))</f>
        <v/>
      </c>
      <c r="H53" s="9" t="n"/>
      <c r="I53" s="45" t="n"/>
    </row>
    <row r="54">
      <c r="A54" s="35" t="n"/>
      <c r="B54" s="9" t="n"/>
      <c r="C54" s="9" t="n"/>
      <c r="D54" s="45" t="n"/>
      <c r="E54" s="24" t="n"/>
      <c r="F54" s="24" t="n"/>
      <c r="G54" s="25">
        <f>IF(E54="","",E54-N(F54))</f>
        <v/>
      </c>
      <c r="H54" s="9" t="n"/>
      <c r="I54" s="45" t="n"/>
    </row>
    <row r="55">
      <c r="A55" s="35" t="n"/>
      <c r="B55" s="9" t="n"/>
      <c r="C55" s="9" t="n"/>
      <c r="D55" s="45" t="n"/>
      <c r="E55" s="24" t="n"/>
      <c r="F55" s="24" t="n"/>
      <c r="G55" s="25">
        <f>IF(E55="","",E55-N(F55))</f>
        <v/>
      </c>
      <c r="H55" s="9" t="n"/>
      <c r="I55" s="45" t="n"/>
    </row>
    <row r="56">
      <c r="A56" s="35" t="n"/>
      <c r="B56" s="9" t="n"/>
      <c r="C56" s="9" t="n"/>
      <c r="D56" s="45" t="n"/>
      <c r="E56" s="24" t="n"/>
      <c r="F56" s="24" t="n"/>
      <c r="G56" s="25">
        <f>IF(E56="","",E56-N(F56))</f>
        <v/>
      </c>
      <c r="H56" s="9" t="n"/>
      <c r="I56" s="45" t="n"/>
    </row>
    <row r="57">
      <c r="A57" s="35" t="n"/>
      <c r="B57" s="9" t="n"/>
      <c r="C57" s="9" t="n"/>
      <c r="D57" s="45" t="n"/>
      <c r="E57" s="24" t="n"/>
      <c r="F57" s="24" t="n"/>
      <c r="G57" s="25">
        <f>IF(E57="","",E57-N(F57))</f>
        <v/>
      </c>
      <c r="H57" s="9" t="n"/>
      <c r="I57" s="45" t="n"/>
    </row>
    <row r="58">
      <c r="A58" s="35" t="n"/>
      <c r="B58" s="9" t="n"/>
      <c r="C58" s="9" t="n"/>
      <c r="D58" s="45" t="n"/>
      <c r="E58" s="24" t="n"/>
      <c r="F58" s="24" t="n"/>
      <c r="G58" s="25">
        <f>IF(E58="","",E58-N(F58))</f>
        <v/>
      </c>
      <c r="H58" s="9" t="n"/>
      <c r="I58" s="45" t="n"/>
    </row>
    <row r="59">
      <c r="A59" s="35" t="n"/>
      <c r="B59" s="9" t="n"/>
      <c r="C59" s="9" t="n"/>
      <c r="D59" s="45" t="n"/>
      <c r="E59" s="24" t="n"/>
      <c r="F59" s="24" t="n"/>
      <c r="G59" s="25">
        <f>IF(E59="","",E59-N(F59))</f>
        <v/>
      </c>
      <c r="H59" s="9" t="n"/>
      <c r="I59" s="45" t="n"/>
    </row>
    <row r="60">
      <c r="A60" s="35" t="n"/>
      <c r="B60" s="9" t="n"/>
      <c r="C60" s="9" t="n"/>
      <c r="D60" s="45" t="n"/>
      <c r="E60" s="24" t="n"/>
      <c r="F60" s="24" t="n"/>
      <c r="G60" s="25">
        <f>IF(E60="","",E60-N(F60))</f>
        <v/>
      </c>
      <c r="H60" s="9" t="n"/>
      <c r="I60" s="45" t="n"/>
    </row>
    <row r="61">
      <c r="A61" s="35" t="n"/>
      <c r="B61" s="9" t="n"/>
      <c r="C61" s="9" t="n"/>
      <c r="D61" s="45" t="n"/>
      <c r="E61" s="24" t="n"/>
      <c r="F61" s="24" t="n"/>
      <c r="G61" s="25">
        <f>IF(E61="","",E61-N(F61))</f>
        <v/>
      </c>
      <c r="H61" s="9" t="n"/>
      <c r="I61" s="45" t="n"/>
    </row>
    <row r="62">
      <c r="A62" s="35" t="n"/>
      <c r="B62" s="9" t="n"/>
      <c r="C62" s="9" t="n"/>
      <c r="D62" s="45" t="n"/>
      <c r="E62" s="24" t="n"/>
      <c r="F62" s="24" t="n"/>
      <c r="G62" s="25">
        <f>IF(E62="","",E62-N(F62))</f>
        <v/>
      </c>
      <c r="H62" s="9" t="n"/>
      <c r="I62" s="45" t="n"/>
    </row>
    <row r="63">
      <c r="A63" s="35" t="n"/>
      <c r="B63" s="9" t="n"/>
      <c r="C63" s="9" t="n"/>
      <c r="D63" s="45" t="n"/>
      <c r="E63" s="24" t="n"/>
      <c r="F63" s="24" t="n"/>
      <c r="G63" s="25">
        <f>IF(E63="","",E63-N(F63))</f>
        <v/>
      </c>
      <c r="H63" s="9" t="n"/>
      <c r="I63" s="45" t="n"/>
    </row>
    <row r="64">
      <c r="A64" s="35" t="n"/>
      <c r="B64" s="9" t="n"/>
      <c r="C64" s="9" t="n"/>
      <c r="D64" s="45" t="n"/>
      <c r="E64" s="24" t="n"/>
      <c r="F64" s="24" t="n"/>
      <c r="G64" s="25">
        <f>IF(E64="","",E64-N(F64))</f>
        <v/>
      </c>
      <c r="H64" s="9" t="n"/>
      <c r="I64" s="45" t="n"/>
    </row>
    <row r="65">
      <c r="A65" s="35" t="n"/>
      <c r="B65" s="9" t="n"/>
      <c r="C65" s="9" t="n"/>
      <c r="D65" s="45" t="n"/>
      <c r="E65" s="24" t="n"/>
      <c r="F65" s="24" t="n"/>
      <c r="G65" s="25">
        <f>IF(E65="","",E65-N(F65))</f>
        <v/>
      </c>
      <c r="H65" s="9" t="n"/>
      <c r="I65" s="45" t="n"/>
    </row>
    <row r="66">
      <c r="A66" s="35" t="n"/>
      <c r="B66" s="9" t="n"/>
      <c r="C66" s="9" t="n"/>
      <c r="D66" s="45" t="n"/>
      <c r="E66" s="24" t="n"/>
      <c r="F66" s="24" t="n"/>
      <c r="G66" s="25">
        <f>IF(E66="","",E66-N(F66))</f>
        <v/>
      </c>
      <c r="H66" s="9" t="n"/>
      <c r="I66" s="45" t="n"/>
    </row>
    <row r="67">
      <c r="A67" s="35" t="n"/>
      <c r="B67" s="9" t="n"/>
      <c r="C67" s="9" t="n"/>
      <c r="D67" s="45" t="n"/>
      <c r="E67" s="24" t="n"/>
      <c r="F67" s="24" t="n"/>
      <c r="G67" s="25">
        <f>IF(E67="","",E67-N(F67))</f>
        <v/>
      </c>
      <c r="H67" s="9" t="n"/>
      <c r="I67" s="45" t="n"/>
    </row>
    <row r="68">
      <c r="A68" s="35" t="n"/>
      <c r="B68" s="9" t="n"/>
      <c r="C68" s="9" t="n"/>
      <c r="D68" s="45" t="n"/>
      <c r="E68" s="24" t="n"/>
      <c r="F68" s="24" t="n"/>
      <c r="G68" s="25">
        <f>IF(E68="","",E68-N(F68))</f>
        <v/>
      </c>
      <c r="H68" s="9" t="n"/>
      <c r="I68" s="45" t="n"/>
    </row>
    <row r="69">
      <c r="A69" s="35" t="n"/>
      <c r="B69" s="9" t="n"/>
      <c r="C69" s="9" t="n"/>
      <c r="D69" s="45" t="n"/>
      <c r="E69" s="24" t="n"/>
      <c r="F69" s="24" t="n"/>
      <c r="G69" s="25">
        <f>IF(E69="","",E69-N(F69))</f>
        <v/>
      </c>
      <c r="H69" s="9" t="n"/>
      <c r="I69" s="45" t="n"/>
    </row>
    <row r="70">
      <c r="A70" s="35" t="n"/>
      <c r="B70" s="9" t="n"/>
      <c r="C70" s="9" t="n"/>
      <c r="D70" s="45" t="n"/>
      <c r="E70" s="24" t="n"/>
      <c r="F70" s="24" t="n"/>
      <c r="G70" s="25">
        <f>IF(E70="","",E70-N(F70))</f>
        <v/>
      </c>
      <c r="H70" s="9" t="n"/>
      <c r="I70" s="45" t="n"/>
    </row>
    <row r="71">
      <c r="A71" s="35" t="n"/>
      <c r="B71" s="9" t="n"/>
      <c r="C71" s="9" t="n"/>
      <c r="D71" s="45" t="n"/>
      <c r="E71" s="24" t="n"/>
      <c r="F71" s="24" t="n"/>
      <c r="G71" s="25">
        <f>IF(E71="","",E71-N(F71))</f>
        <v/>
      </c>
      <c r="H71" s="9" t="n"/>
      <c r="I71" s="45" t="n"/>
    </row>
    <row r="72">
      <c r="A72" s="35" t="n"/>
      <c r="B72" s="9" t="n"/>
      <c r="C72" s="9" t="n"/>
      <c r="D72" s="45" t="n"/>
      <c r="E72" s="24" t="n"/>
      <c r="F72" s="24" t="n"/>
      <c r="G72" s="25">
        <f>IF(E72="","",E72-N(F72))</f>
        <v/>
      </c>
      <c r="H72" s="9" t="n"/>
      <c r="I72" s="45" t="n"/>
    </row>
    <row r="73">
      <c r="A73" s="35" t="n"/>
      <c r="B73" s="9" t="n"/>
      <c r="C73" s="9" t="n"/>
      <c r="D73" s="45" t="n"/>
      <c r="E73" s="24" t="n"/>
      <c r="F73" s="24" t="n"/>
      <c r="G73" s="25">
        <f>IF(E73="","",E73-N(F73))</f>
        <v/>
      </c>
      <c r="H73" s="9" t="n"/>
      <c r="I73" s="45" t="n"/>
    </row>
    <row r="74">
      <c r="A74" s="35" t="n"/>
      <c r="B74" s="9" t="n"/>
      <c r="C74" s="9" t="n"/>
      <c r="D74" s="45" t="n"/>
      <c r="E74" s="24" t="n"/>
      <c r="F74" s="24" t="n"/>
      <c r="G74" s="25">
        <f>IF(E74="","",E74-N(F74))</f>
        <v/>
      </c>
      <c r="H74" s="9" t="n"/>
      <c r="I74" s="45" t="n"/>
    </row>
    <row r="75">
      <c r="A75" s="35" t="n"/>
      <c r="B75" s="9" t="n"/>
      <c r="C75" s="9" t="n"/>
      <c r="D75" s="45" t="n"/>
      <c r="E75" s="24" t="n"/>
      <c r="F75" s="24" t="n"/>
      <c r="G75" s="25">
        <f>IF(E75="","",E75-N(F75))</f>
        <v/>
      </c>
      <c r="H75" s="9" t="n"/>
      <c r="I75" s="45" t="n"/>
    </row>
    <row r="76">
      <c r="A76" s="35" t="n"/>
      <c r="B76" s="9" t="n"/>
      <c r="C76" s="9" t="n"/>
      <c r="D76" s="45" t="n"/>
      <c r="E76" s="24" t="n"/>
      <c r="F76" s="24" t="n"/>
      <c r="G76" s="25">
        <f>IF(E76="","",E76-N(F76))</f>
        <v/>
      </c>
      <c r="H76" s="9" t="n"/>
      <c r="I76" s="45" t="n"/>
    </row>
    <row r="77">
      <c r="A77" s="35" t="n"/>
      <c r="B77" s="9" t="n"/>
      <c r="C77" s="9" t="n"/>
      <c r="D77" s="45" t="n"/>
      <c r="E77" s="24" t="n"/>
      <c r="F77" s="24" t="n"/>
      <c r="G77" s="25">
        <f>IF(E77="","",E77-N(F77))</f>
        <v/>
      </c>
      <c r="H77" s="9" t="n"/>
      <c r="I77" s="45" t="n"/>
    </row>
    <row r="78">
      <c r="A78" s="35" t="n"/>
      <c r="B78" s="9" t="n"/>
      <c r="C78" s="9" t="n"/>
      <c r="D78" s="45" t="n"/>
      <c r="E78" s="24" t="n"/>
      <c r="F78" s="24" t="n"/>
      <c r="G78" s="25">
        <f>IF(E78="","",E78-N(F78))</f>
        <v/>
      </c>
      <c r="H78" s="9" t="n"/>
      <c r="I78" s="45" t="n"/>
    </row>
    <row r="79">
      <c r="A79" s="35" t="n"/>
      <c r="B79" s="9" t="n"/>
      <c r="C79" s="9" t="n"/>
      <c r="D79" s="45" t="n"/>
      <c r="E79" s="24" t="n"/>
      <c r="F79" s="24" t="n"/>
      <c r="G79" s="25">
        <f>IF(E79="","",E79-N(F79))</f>
        <v/>
      </c>
      <c r="H79" s="9" t="n"/>
      <c r="I79" s="45" t="n"/>
    </row>
    <row r="80">
      <c r="A80" s="35" t="n"/>
      <c r="B80" s="9" t="n"/>
      <c r="C80" s="9" t="n"/>
      <c r="D80" s="45" t="n"/>
      <c r="E80" s="24" t="n"/>
      <c r="F80" s="24" t="n"/>
      <c r="G80" s="25">
        <f>IF(E80="","",E80-N(F80))</f>
        <v/>
      </c>
      <c r="H80" s="9" t="n"/>
      <c r="I80" s="45" t="n"/>
    </row>
    <row r="81">
      <c r="A81" s="35" t="n"/>
      <c r="B81" s="9" t="n"/>
      <c r="C81" s="9" t="n"/>
      <c r="D81" s="45" t="n"/>
      <c r="E81" s="24" t="n"/>
      <c r="F81" s="24" t="n"/>
      <c r="G81" s="25">
        <f>IF(E81="","",E81-N(F81))</f>
        <v/>
      </c>
      <c r="H81" s="9" t="n"/>
      <c r="I81" s="45" t="n"/>
    </row>
    <row r="82">
      <c r="A82" s="35" t="n"/>
      <c r="B82" s="9" t="n"/>
      <c r="C82" s="9" t="n"/>
      <c r="D82" s="45" t="n"/>
      <c r="E82" s="24" t="n"/>
      <c r="F82" s="24" t="n"/>
      <c r="G82" s="25">
        <f>IF(E82="","",E82-N(F82))</f>
        <v/>
      </c>
      <c r="H82" s="9" t="n"/>
      <c r="I82" s="45" t="n"/>
    </row>
    <row r="83">
      <c r="A83" s="35" t="n"/>
      <c r="B83" s="9" t="n"/>
      <c r="C83" s="9" t="n"/>
      <c r="D83" s="45" t="n"/>
      <c r="E83" s="24" t="n"/>
      <c r="F83" s="24" t="n"/>
      <c r="G83" s="25">
        <f>IF(E83="","",E83-N(F83))</f>
        <v/>
      </c>
      <c r="H83" s="9" t="n"/>
      <c r="I83" s="45" t="n"/>
    </row>
    <row r="84">
      <c r="A84" s="35" t="n"/>
      <c r="B84" s="9" t="n"/>
      <c r="C84" s="9" t="n"/>
      <c r="D84" s="45" t="n"/>
      <c r="E84" s="24" t="n"/>
      <c r="F84" s="24" t="n"/>
      <c r="G84" s="25">
        <f>IF(E84="","",E84-N(F84))</f>
        <v/>
      </c>
      <c r="H84" s="9" t="n"/>
      <c r="I84" s="45" t="n"/>
    </row>
    <row r="85">
      <c r="A85" s="35" t="n"/>
      <c r="B85" s="9" t="n"/>
      <c r="C85" s="9" t="n"/>
      <c r="D85" s="45" t="n"/>
      <c r="E85" s="24" t="n"/>
      <c r="F85" s="24" t="n"/>
      <c r="G85" s="25">
        <f>IF(E85="","",E85-N(F85))</f>
        <v/>
      </c>
      <c r="H85" s="9" t="n"/>
      <c r="I85" s="45" t="n"/>
    </row>
    <row r="86">
      <c r="A86" s="35" t="n"/>
      <c r="B86" s="9" t="n"/>
      <c r="C86" s="9" t="n"/>
      <c r="D86" s="45" t="n"/>
      <c r="E86" s="24" t="n"/>
      <c r="F86" s="24" t="n"/>
      <c r="G86" s="25">
        <f>IF(E86="","",E86-N(F86))</f>
        <v/>
      </c>
      <c r="H86" s="9" t="n"/>
      <c r="I86" s="45" t="n"/>
    </row>
    <row r="87">
      <c r="A87" s="35" t="n"/>
      <c r="B87" s="9" t="n"/>
      <c r="C87" s="9" t="n"/>
      <c r="D87" s="45" t="n"/>
      <c r="E87" s="24" t="n"/>
      <c r="F87" s="24" t="n"/>
      <c r="G87" s="25">
        <f>IF(E87="","",E87-N(F87))</f>
        <v/>
      </c>
      <c r="H87" s="9" t="n"/>
      <c r="I87" s="45" t="n"/>
    </row>
    <row r="88">
      <c r="A88" s="35" t="n"/>
      <c r="B88" s="9" t="n"/>
      <c r="C88" s="9" t="n"/>
      <c r="D88" s="45" t="n"/>
      <c r="E88" s="24" t="n"/>
      <c r="F88" s="24" t="n"/>
      <c r="G88" s="25">
        <f>IF(E88="","",E88-N(F88))</f>
        <v/>
      </c>
      <c r="H88" s="9" t="n"/>
      <c r="I88" s="45" t="n"/>
    </row>
    <row r="89">
      <c r="A89" s="35" t="n"/>
      <c r="B89" s="9" t="n"/>
      <c r="C89" s="9" t="n"/>
      <c r="D89" s="45" t="n"/>
      <c r="E89" s="24" t="n"/>
      <c r="F89" s="24" t="n"/>
      <c r="G89" s="25">
        <f>IF(E89="","",E89-N(F89))</f>
        <v/>
      </c>
      <c r="H89" s="9" t="n"/>
      <c r="I89" s="45" t="n"/>
    </row>
    <row r="90">
      <c r="A90" s="35" t="n"/>
      <c r="B90" s="9" t="n"/>
      <c r="C90" s="9" t="n"/>
      <c r="D90" s="45" t="n"/>
      <c r="E90" s="24" t="n"/>
      <c r="F90" s="24" t="n"/>
      <c r="G90" s="25">
        <f>IF(E90="","",E90-N(F90))</f>
        <v/>
      </c>
      <c r="H90" s="9" t="n"/>
      <c r="I90" s="45" t="n"/>
    </row>
    <row r="91">
      <c r="A91" s="35" t="n"/>
      <c r="B91" s="9" t="n"/>
      <c r="C91" s="9" t="n"/>
      <c r="D91" s="45" t="n"/>
      <c r="E91" s="24" t="n"/>
      <c r="F91" s="24" t="n"/>
      <c r="G91" s="25">
        <f>IF(E91="","",E91-N(F91))</f>
        <v/>
      </c>
      <c r="H91" s="9" t="n"/>
      <c r="I91" s="45" t="n"/>
    </row>
    <row r="92">
      <c r="A92" s="35" t="n"/>
      <c r="B92" s="9" t="n"/>
      <c r="C92" s="9" t="n"/>
      <c r="D92" s="45" t="n"/>
      <c r="E92" s="24" t="n"/>
      <c r="F92" s="24" t="n"/>
      <c r="G92" s="25">
        <f>IF(E92="","",E92-N(F92))</f>
        <v/>
      </c>
      <c r="H92" s="9" t="n"/>
      <c r="I92" s="45" t="n"/>
    </row>
    <row r="93">
      <c r="A93" s="35" t="n"/>
      <c r="B93" s="9" t="n"/>
      <c r="C93" s="9" t="n"/>
      <c r="D93" s="45" t="n"/>
      <c r="E93" s="24" t="n"/>
      <c r="F93" s="24" t="n"/>
      <c r="G93" s="25">
        <f>IF(E93="","",E93-N(F93))</f>
        <v/>
      </c>
      <c r="H93" s="9" t="n"/>
      <c r="I93" s="45" t="n"/>
    </row>
    <row r="94">
      <c r="A94" s="35" t="n"/>
      <c r="B94" s="9" t="n"/>
      <c r="C94" s="9" t="n"/>
      <c r="D94" s="45" t="n"/>
      <c r="E94" s="24" t="n"/>
      <c r="F94" s="24" t="n"/>
      <c r="G94" s="25">
        <f>IF(E94="","",E94-N(F94))</f>
        <v/>
      </c>
      <c r="H94" s="9" t="n"/>
      <c r="I94" s="45" t="n"/>
    </row>
    <row r="95">
      <c r="A95" s="35" t="n"/>
      <c r="B95" s="9" t="n"/>
      <c r="C95" s="9" t="n"/>
      <c r="D95" s="45" t="n"/>
      <c r="E95" s="24" t="n"/>
      <c r="F95" s="24" t="n"/>
      <c r="G95" s="25">
        <f>IF(E95="","",E95-N(F95))</f>
        <v/>
      </c>
      <c r="H95" s="9" t="n"/>
      <c r="I95" s="45" t="n"/>
    </row>
    <row r="96">
      <c r="A96" s="35" t="n"/>
      <c r="B96" s="9" t="n"/>
      <c r="C96" s="9" t="n"/>
      <c r="D96" s="45" t="n"/>
      <c r="E96" s="24" t="n"/>
      <c r="F96" s="24" t="n"/>
      <c r="G96" s="25">
        <f>IF(E96="","",E96-N(F96))</f>
        <v/>
      </c>
      <c r="H96" s="9" t="n"/>
      <c r="I96" s="45" t="n"/>
    </row>
    <row r="97">
      <c r="A97" s="35" t="n"/>
      <c r="B97" s="9" t="n"/>
      <c r="C97" s="9" t="n"/>
      <c r="D97" s="45" t="n"/>
      <c r="E97" s="24" t="n"/>
      <c r="F97" s="24" t="n"/>
      <c r="G97" s="25">
        <f>IF(E97="","",E97-N(F97))</f>
        <v/>
      </c>
      <c r="H97" s="9" t="n"/>
      <c r="I97" s="45" t="n"/>
    </row>
    <row r="98">
      <c r="A98" s="35" t="n"/>
      <c r="B98" s="9" t="n"/>
      <c r="C98" s="9" t="n"/>
      <c r="D98" s="45" t="n"/>
      <c r="E98" s="24" t="n"/>
      <c r="F98" s="24" t="n"/>
      <c r="G98" s="25">
        <f>IF(E98="","",E98-N(F98))</f>
        <v/>
      </c>
      <c r="H98" s="9" t="n"/>
      <c r="I98" s="45" t="n"/>
    </row>
    <row r="99">
      <c r="A99" s="35" t="n"/>
      <c r="B99" s="9" t="n"/>
      <c r="C99" s="9" t="n"/>
      <c r="D99" s="45" t="n"/>
      <c r="E99" s="24" t="n"/>
      <c r="F99" s="24" t="n"/>
      <c r="G99" s="25">
        <f>IF(E99="","",E99-N(F99))</f>
        <v/>
      </c>
      <c r="H99" s="9" t="n"/>
      <c r="I99" s="45" t="n"/>
    </row>
    <row r="100">
      <c r="A100" s="35" t="n"/>
      <c r="B100" s="9" t="n"/>
      <c r="C100" s="9" t="n"/>
      <c r="D100" s="45" t="n"/>
      <c r="E100" s="24" t="n"/>
      <c r="F100" s="24" t="n"/>
      <c r="G100" s="25">
        <f>IF(E100="","",E100-N(F100))</f>
        <v/>
      </c>
      <c r="H100" s="9" t="n"/>
      <c r="I100" s="45" t="n"/>
    </row>
    <row r="101">
      <c r="A101" s="35" t="n"/>
      <c r="B101" s="9" t="n"/>
      <c r="C101" s="9" t="n"/>
      <c r="D101" s="45" t="n"/>
      <c r="E101" s="24" t="n"/>
      <c r="F101" s="24" t="n"/>
      <c r="G101" s="25">
        <f>IF(E101="","",E101-N(F101))</f>
        <v/>
      </c>
      <c r="H101" s="9" t="n"/>
      <c r="I101" s="45" t="n"/>
    </row>
    <row r="102">
      <c r="A102" s="35" t="n"/>
      <c r="B102" s="9" t="n"/>
      <c r="C102" s="9" t="n"/>
      <c r="D102" s="45" t="n"/>
      <c r="E102" s="24" t="n"/>
      <c r="F102" s="24" t="n"/>
      <c r="G102" s="25">
        <f>IF(E102="","",E102-N(F102))</f>
        <v/>
      </c>
      <c r="H102" s="9" t="n"/>
      <c r="I102" s="45" t="n"/>
    </row>
    <row r="103">
      <c r="A103" s="35" t="n"/>
      <c r="B103" s="9" t="n"/>
      <c r="C103" s="9" t="n"/>
      <c r="D103" s="45" t="n"/>
      <c r="E103" s="24" t="n"/>
      <c r="F103" s="24" t="n"/>
      <c r="G103" s="25">
        <f>IF(E103="","",E103-N(F103))</f>
        <v/>
      </c>
      <c r="H103" s="9" t="n"/>
      <c r="I103" s="45" t="n"/>
    </row>
    <row r="104">
      <c r="A104" s="35" t="n"/>
      <c r="B104" s="9" t="n"/>
      <c r="C104" s="9" t="n"/>
      <c r="D104" s="45" t="n"/>
      <c r="E104" s="24" t="n"/>
      <c r="F104" s="24" t="n"/>
      <c r="G104" s="25">
        <f>IF(E104="","",E104-N(F104))</f>
        <v/>
      </c>
      <c r="H104" s="9" t="n"/>
      <c r="I104" s="45" t="n"/>
    </row>
    <row r="105">
      <c r="A105" s="35" t="n"/>
      <c r="B105" s="9" t="n"/>
      <c r="C105" s="9" t="n"/>
      <c r="D105" s="45" t="n"/>
      <c r="E105" s="24" t="n"/>
      <c r="F105" s="24" t="n"/>
      <c r="G105" s="25">
        <f>IF(E105="","",E105-N(F105))</f>
        <v/>
      </c>
      <c r="H105" s="9" t="n"/>
      <c r="I105" s="45" t="n"/>
    </row>
    <row r="106">
      <c r="A106" s="35" t="n"/>
      <c r="B106" s="9" t="n"/>
      <c r="C106" s="9" t="n"/>
      <c r="D106" s="45" t="n"/>
      <c r="E106" s="24" t="n"/>
      <c r="F106" s="24" t="n"/>
      <c r="G106" s="25">
        <f>IF(E106="","",E106-N(F106))</f>
        <v/>
      </c>
      <c r="H106" s="9" t="n"/>
      <c r="I106" s="45" t="n"/>
    </row>
    <row r="107">
      <c r="A107" s="35" t="n"/>
      <c r="B107" s="9" t="n"/>
      <c r="C107" s="9" t="n"/>
      <c r="D107" s="45" t="n"/>
      <c r="E107" s="24" t="n"/>
      <c r="F107" s="24" t="n"/>
      <c r="G107" s="25">
        <f>IF(E107="","",E107-N(F107))</f>
        <v/>
      </c>
      <c r="H107" s="9" t="n"/>
      <c r="I107" s="45" t="n"/>
    </row>
    <row r="108">
      <c r="A108" s="35" t="n"/>
      <c r="B108" s="9" t="n"/>
      <c r="C108" s="9" t="n"/>
      <c r="D108" s="45" t="n"/>
      <c r="E108" s="24" t="n"/>
      <c r="F108" s="24" t="n"/>
      <c r="G108" s="25">
        <f>IF(E108="","",E108-N(F108))</f>
        <v/>
      </c>
      <c r="H108" s="9" t="n"/>
      <c r="I108" s="45" t="n"/>
    </row>
    <row r="109">
      <c r="A109" s="35" t="n"/>
      <c r="B109" s="9" t="n"/>
      <c r="C109" s="9" t="n"/>
      <c r="D109" s="45" t="n"/>
      <c r="E109" s="24" t="n"/>
      <c r="F109" s="24" t="n"/>
      <c r="G109" s="25">
        <f>IF(E109="","",E109-N(F109))</f>
        <v/>
      </c>
      <c r="H109" s="9" t="n"/>
      <c r="I109" s="45" t="n"/>
    </row>
    <row r="110">
      <c r="A110" s="35" t="n"/>
      <c r="B110" s="9" t="n"/>
      <c r="C110" s="9" t="n"/>
      <c r="D110" s="45" t="n"/>
      <c r="E110" s="24" t="n"/>
      <c r="F110" s="24" t="n"/>
      <c r="G110" s="25">
        <f>IF(E110="","",E110-N(F110))</f>
        <v/>
      </c>
      <c r="H110" s="9" t="n"/>
      <c r="I110" s="45" t="n"/>
    </row>
    <row r="111">
      <c r="A111" s="35" t="n"/>
      <c r="B111" s="9" t="n"/>
      <c r="C111" s="9" t="n"/>
      <c r="D111" s="45" t="n"/>
      <c r="E111" s="24" t="n"/>
      <c r="F111" s="24" t="n"/>
      <c r="G111" s="25">
        <f>IF(E111="","",E111-N(F111))</f>
        <v/>
      </c>
      <c r="H111" s="9" t="n"/>
      <c r="I111" s="45" t="n"/>
    </row>
    <row r="112">
      <c r="A112" s="35" t="n"/>
      <c r="B112" s="9" t="n"/>
      <c r="C112" s="9" t="n"/>
      <c r="D112" s="45" t="n"/>
      <c r="E112" s="24" t="n"/>
      <c r="F112" s="24" t="n"/>
      <c r="G112" s="25">
        <f>IF(E112="","",E112-N(F112))</f>
        <v/>
      </c>
      <c r="H112" s="9" t="n"/>
      <c r="I112" s="45" t="n"/>
    </row>
    <row r="113">
      <c r="A113" s="35" t="n"/>
      <c r="B113" s="9" t="n"/>
      <c r="C113" s="9" t="n"/>
      <c r="D113" s="45" t="n"/>
      <c r="E113" s="24" t="n"/>
      <c r="F113" s="24" t="n"/>
      <c r="G113" s="25">
        <f>IF(E113="","",E113-N(F113))</f>
        <v/>
      </c>
      <c r="H113" s="9" t="n"/>
      <c r="I113" s="45" t="n"/>
    </row>
    <row r="114">
      <c r="A114" s="35" t="n"/>
      <c r="B114" s="9" t="n"/>
      <c r="C114" s="9" t="n"/>
      <c r="D114" s="45" t="n"/>
      <c r="E114" s="24" t="n"/>
      <c r="F114" s="24" t="n"/>
      <c r="G114" s="25">
        <f>IF(E114="","",E114-N(F114))</f>
        <v/>
      </c>
      <c r="H114" s="9" t="n"/>
      <c r="I114" s="45" t="n"/>
    </row>
    <row r="115">
      <c r="A115" s="35" t="n"/>
      <c r="B115" s="9" t="n"/>
      <c r="C115" s="9" t="n"/>
      <c r="D115" s="45" t="n"/>
      <c r="E115" s="24" t="n"/>
      <c r="F115" s="24" t="n"/>
      <c r="G115" s="25">
        <f>IF(E115="","",E115-N(F115))</f>
        <v/>
      </c>
      <c r="H115" s="9" t="n"/>
      <c r="I115" s="45" t="n"/>
    </row>
    <row r="116">
      <c r="A116" s="35" t="n"/>
      <c r="B116" s="9" t="n"/>
      <c r="C116" s="9" t="n"/>
      <c r="D116" s="45" t="n"/>
      <c r="E116" s="24" t="n"/>
      <c r="F116" s="24" t="n"/>
      <c r="G116" s="25">
        <f>IF(E116="","",E116-N(F116))</f>
        <v/>
      </c>
      <c r="H116" s="9" t="n"/>
      <c r="I116" s="45" t="n"/>
    </row>
    <row r="117">
      <c r="A117" s="35" t="n"/>
      <c r="B117" s="9" t="n"/>
      <c r="C117" s="9" t="n"/>
      <c r="D117" s="45" t="n"/>
      <c r="E117" s="24" t="n"/>
      <c r="F117" s="24" t="n"/>
      <c r="G117" s="25">
        <f>IF(E117="","",E117-N(F117))</f>
        <v/>
      </c>
      <c r="H117" s="9" t="n"/>
      <c r="I117" s="45" t="n"/>
    </row>
    <row r="118">
      <c r="A118" s="35" t="n"/>
      <c r="B118" s="9" t="n"/>
      <c r="C118" s="9" t="n"/>
      <c r="D118" s="45" t="n"/>
      <c r="E118" s="24" t="n"/>
      <c r="F118" s="24" t="n"/>
      <c r="G118" s="25">
        <f>IF(E118="","",E118-N(F118))</f>
        <v/>
      </c>
      <c r="H118" s="9" t="n"/>
      <c r="I118" s="45" t="n"/>
    </row>
    <row r="119">
      <c r="A119" s="35" t="n"/>
      <c r="B119" s="9" t="n"/>
      <c r="C119" s="9" t="n"/>
      <c r="D119" s="45" t="n"/>
      <c r="E119" s="24" t="n"/>
      <c r="F119" s="24" t="n"/>
      <c r="G119" s="25">
        <f>IF(E119="","",E119-N(F119))</f>
        <v/>
      </c>
      <c r="H119" s="9" t="n"/>
      <c r="I119" s="45" t="n"/>
    </row>
    <row r="120">
      <c r="A120" s="35" t="n"/>
      <c r="B120" s="9" t="n"/>
      <c r="C120" s="9" t="n"/>
      <c r="D120" s="45" t="n"/>
      <c r="E120" s="24" t="n"/>
      <c r="F120" s="24" t="n"/>
      <c r="G120" s="25">
        <f>IF(E120="","",E120-N(F120))</f>
        <v/>
      </c>
      <c r="H120" s="9" t="n"/>
      <c r="I120" s="45" t="n"/>
    </row>
    <row r="121">
      <c r="A121" s="35" t="n"/>
      <c r="B121" s="9" t="n"/>
      <c r="C121" s="9" t="n"/>
      <c r="D121" s="45" t="n"/>
      <c r="E121" s="24" t="n"/>
      <c r="F121" s="24" t="n"/>
      <c r="G121" s="25">
        <f>IF(E121="","",E121-N(F121))</f>
        <v/>
      </c>
      <c r="H121" s="9" t="n"/>
      <c r="I121" s="45" t="n"/>
    </row>
    <row r="122">
      <c r="A122" s="35" t="n"/>
      <c r="B122" s="9" t="n"/>
      <c r="C122" s="9" t="n"/>
      <c r="D122" s="45" t="n"/>
      <c r="E122" s="24" t="n"/>
      <c r="F122" s="24" t="n"/>
      <c r="G122" s="25">
        <f>IF(E122="","",E122-N(F122))</f>
        <v/>
      </c>
      <c r="H122" s="9" t="n"/>
      <c r="I122" s="45" t="n"/>
    </row>
    <row r="123">
      <c r="A123" s="35" t="n"/>
      <c r="B123" s="9" t="n"/>
      <c r="C123" s="9" t="n"/>
      <c r="D123" s="45" t="n"/>
      <c r="E123" s="24" t="n"/>
      <c r="F123" s="24" t="n"/>
      <c r="G123" s="25">
        <f>IF(E123="","",E123-N(F123))</f>
        <v/>
      </c>
      <c r="H123" s="9" t="n"/>
      <c r="I123" s="45" t="n"/>
    </row>
    <row r="124">
      <c r="A124" s="35" t="n"/>
      <c r="B124" s="9" t="n"/>
      <c r="C124" s="9" t="n"/>
      <c r="D124" s="45" t="n"/>
      <c r="E124" s="24" t="n"/>
      <c r="F124" s="24" t="n"/>
      <c r="G124" s="25">
        <f>IF(E124="","",E124-N(F124))</f>
        <v/>
      </c>
      <c r="H124" s="9" t="n"/>
      <c r="I124" s="45" t="n"/>
    </row>
    <row r="125">
      <c r="A125" s="35" t="n"/>
      <c r="B125" s="9" t="n"/>
      <c r="C125" s="9" t="n"/>
      <c r="D125" s="45" t="n"/>
      <c r="E125" s="24" t="n"/>
      <c r="F125" s="24" t="n"/>
      <c r="G125" s="25">
        <f>IF(E125="","",E125-N(F125))</f>
        <v/>
      </c>
      <c r="H125" s="9" t="n"/>
      <c r="I125" s="45" t="n"/>
    </row>
    <row r="126">
      <c r="A126" s="35" t="n"/>
      <c r="B126" s="9" t="n"/>
      <c r="C126" s="9" t="n"/>
      <c r="D126" s="45" t="n"/>
      <c r="E126" s="24" t="n"/>
      <c r="F126" s="24" t="n"/>
      <c r="G126" s="25">
        <f>IF(E126="","",E126-N(F126))</f>
        <v/>
      </c>
      <c r="H126" s="9" t="n"/>
      <c r="I126" s="45" t="n"/>
    </row>
    <row r="127">
      <c r="A127" s="35" t="n"/>
      <c r="B127" s="9" t="n"/>
      <c r="C127" s="9" t="n"/>
      <c r="D127" s="45" t="n"/>
      <c r="E127" s="24" t="n"/>
      <c r="F127" s="24" t="n"/>
      <c r="G127" s="25">
        <f>IF(E127="","",E127-N(F127))</f>
        <v/>
      </c>
      <c r="H127" s="9" t="n"/>
      <c r="I127" s="45" t="n"/>
    </row>
    <row r="128">
      <c r="A128" s="35" t="n"/>
      <c r="B128" s="9" t="n"/>
      <c r="C128" s="9" t="n"/>
      <c r="D128" s="45" t="n"/>
      <c r="E128" s="24" t="n"/>
      <c r="F128" s="24" t="n"/>
      <c r="G128" s="25">
        <f>IF(E128="","",E128-N(F128))</f>
        <v/>
      </c>
      <c r="H128" s="9" t="n"/>
      <c r="I128" s="45" t="n"/>
    </row>
    <row r="129">
      <c r="A129" s="35" t="n"/>
      <c r="B129" s="9" t="n"/>
      <c r="C129" s="9" t="n"/>
      <c r="D129" s="45" t="n"/>
      <c r="E129" s="24" t="n"/>
      <c r="F129" s="24" t="n"/>
      <c r="G129" s="25">
        <f>IF(E129="","",E129-N(F129))</f>
        <v/>
      </c>
      <c r="H129" s="9" t="n"/>
      <c r="I129" s="45" t="n"/>
    </row>
    <row r="130">
      <c r="A130" s="35" t="n"/>
      <c r="B130" s="9" t="n"/>
      <c r="C130" s="9" t="n"/>
      <c r="D130" s="45" t="n"/>
      <c r="E130" s="24" t="n"/>
      <c r="F130" s="24" t="n"/>
      <c r="G130" s="25">
        <f>IF(E130="","",E130-N(F130))</f>
        <v/>
      </c>
      <c r="H130" s="9" t="n"/>
      <c r="I130" s="45" t="n"/>
    </row>
    <row r="131">
      <c r="A131" s="35" t="n"/>
      <c r="B131" s="9" t="n"/>
      <c r="C131" s="9" t="n"/>
      <c r="D131" s="45" t="n"/>
      <c r="E131" s="24" t="n"/>
      <c r="F131" s="24" t="n"/>
      <c r="G131" s="25">
        <f>IF(E131="","",E131-N(F131))</f>
        <v/>
      </c>
      <c r="H131" s="9" t="n"/>
      <c r="I131" s="45" t="n"/>
    </row>
    <row r="132">
      <c r="A132" s="35" t="n"/>
      <c r="B132" s="9" t="n"/>
      <c r="C132" s="9" t="n"/>
      <c r="D132" s="45" t="n"/>
      <c r="E132" s="24" t="n"/>
      <c r="F132" s="24" t="n"/>
      <c r="G132" s="25">
        <f>IF(E132="","",E132-N(F132))</f>
        <v/>
      </c>
      <c r="H132" s="9" t="n"/>
      <c r="I132" s="45" t="n"/>
    </row>
    <row r="133">
      <c r="A133" s="35" t="n"/>
      <c r="B133" s="9" t="n"/>
      <c r="C133" s="9" t="n"/>
      <c r="D133" s="45" t="n"/>
      <c r="E133" s="24" t="n"/>
      <c r="F133" s="24" t="n"/>
      <c r="G133" s="25">
        <f>IF(E133="","",E133-N(F133))</f>
        <v/>
      </c>
      <c r="H133" s="9" t="n"/>
      <c r="I133" s="45" t="n"/>
    </row>
    <row r="134">
      <c r="A134" s="35" t="n"/>
      <c r="B134" s="9" t="n"/>
      <c r="C134" s="9" t="n"/>
      <c r="D134" s="45" t="n"/>
      <c r="E134" s="24" t="n"/>
      <c r="F134" s="24" t="n"/>
      <c r="G134" s="25">
        <f>IF(E134="","",E134-N(F134))</f>
        <v/>
      </c>
      <c r="H134" s="9" t="n"/>
      <c r="I134" s="45" t="n"/>
    </row>
    <row r="135">
      <c r="A135" s="35" t="n"/>
      <c r="B135" s="9" t="n"/>
      <c r="C135" s="9" t="n"/>
      <c r="D135" s="45" t="n"/>
      <c r="E135" s="24" t="n"/>
      <c r="F135" s="24" t="n"/>
      <c r="G135" s="25">
        <f>IF(E135="","",E135-N(F135))</f>
        <v/>
      </c>
      <c r="H135" s="9" t="n"/>
      <c r="I135" s="45" t="n"/>
    </row>
    <row r="136">
      <c r="A136" s="35" t="n"/>
      <c r="B136" s="9" t="n"/>
      <c r="C136" s="9" t="n"/>
      <c r="D136" s="45" t="n"/>
      <c r="E136" s="24" t="n"/>
      <c r="F136" s="24" t="n"/>
      <c r="G136" s="25">
        <f>IF(E136="","",E136-N(F136))</f>
        <v/>
      </c>
      <c r="H136" s="9" t="n"/>
      <c r="I136" s="45" t="n"/>
    </row>
    <row r="137">
      <c r="A137" s="35" t="n"/>
      <c r="B137" s="9" t="n"/>
      <c r="C137" s="9" t="n"/>
      <c r="D137" s="45" t="n"/>
      <c r="E137" s="24" t="n"/>
      <c r="F137" s="24" t="n"/>
      <c r="G137" s="25">
        <f>IF(E137="","",E137-N(F137))</f>
        <v/>
      </c>
      <c r="H137" s="9" t="n"/>
      <c r="I137" s="45" t="n"/>
    </row>
    <row r="138">
      <c r="A138" s="35" t="n"/>
      <c r="B138" s="9" t="n"/>
      <c r="C138" s="9" t="n"/>
      <c r="D138" s="45" t="n"/>
      <c r="E138" s="24" t="n"/>
      <c r="F138" s="24" t="n"/>
      <c r="G138" s="25">
        <f>IF(E138="","",E138-N(F138))</f>
        <v/>
      </c>
      <c r="H138" s="9" t="n"/>
      <c r="I138" s="45" t="n"/>
    </row>
    <row r="139">
      <c r="A139" s="35" t="n"/>
      <c r="B139" s="9" t="n"/>
      <c r="C139" s="9" t="n"/>
      <c r="D139" s="45" t="n"/>
      <c r="E139" s="24" t="n"/>
      <c r="F139" s="24" t="n"/>
      <c r="G139" s="25">
        <f>IF(E139="","",E139-N(F139))</f>
        <v/>
      </c>
      <c r="H139" s="9" t="n"/>
      <c r="I139" s="45" t="n"/>
    </row>
    <row r="140">
      <c r="A140" s="35" t="n"/>
      <c r="B140" s="9" t="n"/>
      <c r="C140" s="9" t="n"/>
      <c r="D140" s="45" t="n"/>
      <c r="E140" s="24" t="n"/>
      <c r="F140" s="24" t="n"/>
      <c r="G140" s="25">
        <f>IF(E140="","",E140-N(F140))</f>
        <v/>
      </c>
      <c r="H140" s="9" t="n"/>
      <c r="I140" s="45" t="n"/>
    </row>
    <row r="141">
      <c r="A141" s="35" t="n"/>
      <c r="B141" s="9" t="n"/>
      <c r="C141" s="9" t="n"/>
      <c r="D141" s="45" t="n"/>
      <c r="E141" s="24" t="n"/>
      <c r="F141" s="24" t="n"/>
      <c r="G141" s="25">
        <f>IF(E141="","",E141-N(F141))</f>
        <v/>
      </c>
      <c r="H141" s="9" t="n"/>
      <c r="I141" s="45" t="n"/>
    </row>
    <row r="142">
      <c r="A142" s="35" t="n"/>
      <c r="B142" s="9" t="n"/>
      <c r="C142" s="9" t="n"/>
      <c r="D142" s="45" t="n"/>
      <c r="E142" s="24" t="n"/>
      <c r="F142" s="24" t="n"/>
      <c r="G142" s="25">
        <f>IF(E142="","",E142-N(F142))</f>
        <v/>
      </c>
      <c r="H142" s="9" t="n"/>
      <c r="I142" s="45" t="n"/>
    </row>
    <row r="143">
      <c r="A143" s="35" t="n"/>
      <c r="B143" s="9" t="n"/>
      <c r="C143" s="9" t="n"/>
      <c r="D143" s="45" t="n"/>
      <c r="E143" s="24" t="n"/>
      <c r="F143" s="24" t="n"/>
      <c r="G143" s="25">
        <f>IF(E143="","",E143-N(F143))</f>
        <v/>
      </c>
      <c r="H143" s="9" t="n"/>
      <c r="I143" s="45" t="n"/>
    </row>
    <row r="144">
      <c r="A144" s="35" t="n"/>
      <c r="B144" s="9" t="n"/>
      <c r="C144" s="9" t="n"/>
      <c r="D144" s="45" t="n"/>
      <c r="E144" s="24" t="n"/>
      <c r="F144" s="24" t="n"/>
      <c r="G144" s="25">
        <f>IF(E144="","",E144-N(F144))</f>
        <v/>
      </c>
      <c r="H144" s="9" t="n"/>
      <c r="I144" s="45" t="n"/>
    </row>
    <row r="145">
      <c r="A145" s="35" t="n"/>
      <c r="B145" s="9" t="n"/>
      <c r="C145" s="9" t="n"/>
      <c r="D145" s="45" t="n"/>
      <c r="E145" s="24" t="n"/>
      <c r="F145" s="24" t="n"/>
      <c r="G145" s="25">
        <f>IF(E145="","",E145-N(F145))</f>
        <v/>
      </c>
      <c r="H145" s="9" t="n"/>
      <c r="I145" s="45" t="n"/>
    </row>
    <row r="146">
      <c r="A146" s="35" t="n"/>
      <c r="B146" s="9" t="n"/>
      <c r="C146" s="9" t="n"/>
      <c r="D146" s="45" t="n"/>
      <c r="E146" s="24" t="n"/>
      <c r="F146" s="24" t="n"/>
      <c r="G146" s="25">
        <f>IF(E146="","",E146-N(F146))</f>
        <v/>
      </c>
      <c r="H146" s="9" t="n"/>
      <c r="I146" s="45" t="n"/>
    </row>
    <row r="147">
      <c r="A147" s="35" t="n"/>
      <c r="B147" s="9" t="n"/>
      <c r="C147" s="9" t="n"/>
      <c r="D147" s="45" t="n"/>
      <c r="E147" s="24" t="n"/>
      <c r="F147" s="24" t="n"/>
      <c r="G147" s="25">
        <f>IF(E147="","",E147-N(F147))</f>
        <v/>
      </c>
      <c r="H147" s="9" t="n"/>
      <c r="I147" s="45" t="n"/>
    </row>
    <row r="148">
      <c r="A148" s="35" t="n"/>
      <c r="B148" s="9" t="n"/>
      <c r="C148" s="9" t="n"/>
      <c r="D148" s="45" t="n"/>
      <c r="E148" s="24" t="n"/>
      <c r="F148" s="24" t="n"/>
      <c r="G148" s="25">
        <f>IF(E148="","",E148-N(F148))</f>
        <v/>
      </c>
      <c r="H148" s="9" t="n"/>
      <c r="I148" s="45" t="n"/>
    </row>
    <row r="149">
      <c r="A149" s="35" t="n"/>
      <c r="B149" s="9" t="n"/>
      <c r="C149" s="9" t="n"/>
      <c r="D149" s="45" t="n"/>
      <c r="E149" s="24" t="n"/>
      <c r="F149" s="24" t="n"/>
      <c r="G149" s="25">
        <f>IF(E149="","",E149-N(F149))</f>
        <v/>
      </c>
      <c r="H149" s="9" t="n"/>
      <c r="I149" s="45" t="n"/>
    </row>
    <row r="150">
      <c r="A150" s="35" t="n"/>
      <c r="B150" s="9" t="n"/>
      <c r="C150" s="9" t="n"/>
      <c r="D150" s="45" t="n"/>
      <c r="E150" s="24" t="n"/>
      <c r="F150" s="24" t="n"/>
      <c r="G150" s="25">
        <f>IF(E150="","",E150-N(F150))</f>
        <v/>
      </c>
      <c r="H150" s="9" t="n"/>
      <c r="I150" s="45" t="n"/>
    </row>
    <row r="151">
      <c r="A151" s="35" t="n"/>
      <c r="B151" s="9" t="n"/>
      <c r="C151" s="9" t="n"/>
      <c r="D151" s="45" t="n"/>
      <c r="E151" s="24" t="n"/>
      <c r="F151" s="24" t="n"/>
      <c r="G151" s="25">
        <f>IF(E151="","",E151-N(F151))</f>
        <v/>
      </c>
      <c r="H151" s="9" t="n"/>
      <c r="I151" s="45" t="n"/>
    </row>
    <row r="152">
      <c r="A152" s="35" t="n"/>
      <c r="B152" s="9" t="n"/>
      <c r="C152" s="9" t="n"/>
      <c r="D152" s="45" t="n"/>
      <c r="E152" s="24" t="n"/>
      <c r="F152" s="24" t="n"/>
      <c r="G152" s="25">
        <f>IF(E152="","",E152-N(F152))</f>
        <v/>
      </c>
      <c r="H152" s="9" t="n"/>
      <c r="I152" s="45" t="n"/>
    </row>
    <row r="153">
      <c r="A153" s="35" t="n"/>
      <c r="B153" s="9" t="n"/>
      <c r="C153" s="9" t="n"/>
      <c r="D153" s="45" t="n"/>
      <c r="E153" s="24" t="n"/>
      <c r="F153" s="24" t="n"/>
      <c r="G153" s="25">
        <f>IF(E153="","",E153-N(F153))</f>
        <v/>
      </c>
      <c r="H153" s="9" t="n"/>
      <c r="I153" s="45" t="n"/>
    </row>
    <row r="154">
      <c r="A154" s="35" t="n"/>
      <c r="B154" s="9" t="n"/>
      <c r="C154" s="9" t="n"/>
      <c r="D154" s="45" t="n"/>
      <c r="E154" s="24" t="n"/>
      <c r="F154" s="24" t="n"/>
      <c r="G154" s="25">
        <f>IF(E154="","",E154-N(F154))</f>
        <v/>
      </c>
      <c r="H154" s="9" t="n"/>
      <c r="I154" s="45" t="n"/>
    </row>
    <row r="155">
      <c r="A155" s="35" t="n"/>
      <c r="B155" s="9" t="n"/>
      <c r="C155" s="9" t="n"/>
      <c r="D155" s="45" t="n"/>
      <c r="E155" s="24" t="n"/>
      <c r="F155" s="24" t="n"/>
      <c r="G155" s="25">
        <f>IF(E155="","",E155-N(F155))</f>
        <v/>
      </c>
      <c r="H155" s="9" t="n"/>
      <c r="I155" s="45" t="n"/>
    </row>
    <row r="156">
      <c r="A156" s="35" t="n"/>
      <c r="B156" s="9" t="n"/>
      <c r="C156" s="9" t="n"/>
      <c r="D156" s="45" t="n"/>
      <c r="E156" s="24" t="n"/>
      <c r="F156" s="24" t="n"/>
      <c r="G156" s="25">
        <f>IF(E156="","",E156-N(F156))</f>
        <v/>
      </c>
      <c r="H156" s="9" t="n"/>
      <c r="I156" s="45" t="n"/>
    </row>
    <row r="157">
      <c r="A157" s="35" t="n"/>
      <c r="B157" s="9" t="n"/>
      <c r="C157" s="9" t="n"/>
      <c r="D157" s="45" t="n"/>
      <c r="E157" s="24" t="n"/>
      <c r="F157" s="24" t="n"/>
      <c r="G157" s="25">
        <f>IF(E157="","",E157-N(F157))</f>
        <v/>
      </c>
      <c r="H157" s="9" t="n"/>
      <c r="I157" s="45" t="n"/>
    </row>
    <row r="158">
      <c r="A158" s="35" t="n"/>
      <c r="B158" s="9" t="n"/>
      <c r="C158" s="9" t="n"/>
      <c r="D158" s="45" t="n"/>
      <c r="E158" s="24" t="n"/>
      <c r="F158" s="24" t="n"/>
      <c r="G158" s="25">
        <f>IF(E158="","",E158-N(F158))</f>
        <v/>
      </c>
      <c r="H158" s="9" t="n"/>
      <c r="I158" s="45" t="n"/>
    </row>
    <row r="159">
      <c r="A159" s="35" t="n"/>
      <c r="B159" s="9" t="n"/>
      <c r="C159" s="9" t="n"/>
      <c r="D159" s="45" t="n"/>
      <c r="E159" s="24" t="n"/>
      <c r="F159" s="24" t="n"/>
      <c r="G159" s="25">
        <f>IF(E159="","",E159-N(F159))</f>
        <v/>
      </c>
      <c r="H159" s="9" t="n"/>
      <c r="I159" s="45" t="n"/>
    </row>
    <row r="160">
      <c r="A160" s="35" t="n"/>
      <c r="B160" s="9" t="n"/>
      <c r="C160" s="9" t="n"/>
      <c r="D160" s="45" t="n"/>
      <c r="E160" s="24" t="n"/>
      <c r="F160" s="24" t="n"/>
      <c r="G160" s="25">
        <f>IF(E160="","",E160-N(F160))</f>
        <v/>
      </c>
      <c r="H160" s="9" t="n"/>
      <c r="I160" s="45" t="n"/>
    </row>
    <row r="161">
      <c r="A161" s="35" t="n"/>
      <c r="B161" s="9" t="n"/>
      <c r="C161" s="9" t="n"/>
      <c r="D161" s="45" t="n"/>
      <c r="E161" s="24" t="n"/>
      <c r="F161" s="24" t="n"/>
      <c r="G161" s="25">
        <f>IF(E161="","",E161-N(F161))</f>
        <v/>
      </c>
      <c r="H161" s="9" t="n"/>
      <c r="I161" s="45" t="n"/>
    </row>
    <row r="162">
      <c r="A162" s="35" t="n"/>
      <c r="B162" s="9" t="n"/>
      <c r="C162" s="9" t="n"/>
      <c r="D162" s="45" t="n"/>
      <c r="E162" s="24" t="n"/>
      <c r="F162" s="24" t="n"/>
      <c r="G162" s="25">
        <f>IF(E162="","",E162-N(F162))</f>
        <v/>
      </c>
      <c r="H162" s="9" t="n"/>
      <c r="I162" s="45" t="n"/>
    </row>
    <row r="163">
      <c r="A163" s="35" t="n"/>
      <c r="B163" s="9" t="n"/>
      <c r="C163" s="9" t="n"/>
      <c r="D163" s="45" t="n"/>
      <c r="E163" s="24" t="n"/>
      <c r="F163" s="24" t="n"/>
      <c r="G163" s="25">
        <f>IF(E163="","",E163-N(F163))</f>
        <v/>
      </c>
      <c r="H163" s="9" t="n"/>
      <c r="I163" s="45" t="n"/>
    </row>
    <row r="164">
      <c r="A164" s="35" t="n"/>
      <c r="B164" s="9" t="n"/>
      <c r="C164" s="9" t="n"/>
      <c r="D164" s="45" t="n"/>
      <c r="E164" s="24" t="n"/>
      <c r="F164" s="24" t="n"/>
      <c r="G164" s="25">
        <f>IF(E164="","",E164-N(F164))</f>
        <v/>
      </c>
      <c r="H164" s="9" t="n"/>
      <c r="I164" s="45" t="n"/>
    </row>
    <row r="165">
      <c r="A165" s="35" t="n"/>
      <c r="B165" s="9" t="n"/>
      <c r="C165" s="9" t="n"/>
      <c r="D165" s="45" t="n"/>
      <c r="E165" s="24" t="n"/>
      <c r="F165" s="24" t="n"/>
      <c r="G165" s="25">
        <f>IF(E165="","",E165-N(F165))</f>
        <v/>
      </c>
      <c r="H165" s="9" t="n"/>
      <c r="I165" s="45" t="n"/>
    </row>
    <row r="166">
      <c r="A166" s="35" t="n"/>
      <c r="B166" s="9" t="n"/>
      <c r="C166" s="9" t="n"/>
      <c r="D166" s="45" t="n"/>
      <c r="E166" s="24" t="n"/>
      <c r="F166" s="24" t="n"/>
      <c r="G166" s="25">
        <f>IF(E166="","",E166-N(F166))</f>
        <v/>
      </c>
      <c r="H166" s="9" t="n"/>
      <c r="I166" s="45" t="n"/>
    </row>
    <row r="167">
      <c r="A167" s="35" t="n"/>
      <c r="B167" s="9" t="n"/>
      <c r="C167" s="9" t="n"/>
      <c r="D167" s="45" t="n"/>
      <c r="E167" s="24" t="n"/>
      <c r="F167" s="24" t="n"/>
      <c r="G167" s="25">
        <f>IF(E167="","",E167-N(F167))</f>
        <v/>
      </c>
      <c r="H167" s="9" t="n"/>
      <c r="I167" s="45" t="n"/>
    </row>
    <row r="168">
      <c r="A168" s="35" t="n"/>
      <c r="B168" s="9" t="n"/>
      <c r="C168" s="9" t="n"/>
      <c r="D168" s="45" t="n"/>
      <c r="E168" s="24" t="n"/>
      <c r="F168" s="24" t="n"/>
      <c r="G168" s="25">
        <f>IF(E168="","",E168-N(F168))</f>
        <v/>
      </c>
      <c r="H168" s="9" t="n"/>
      <c r="I168" s="45" t="n"/>
    </row>
    <row r="169">
      <c r="A169" s="35" t="n"/>
      <c r="B169" s="9" t="n"/>
      <c r="C169" s="9" t="n"/>
      <c r="D169" s="45" t="n"/>
      <c r="E169" s="24" t="n"/>
      <c r="F169" s="24" t="n"/>
      <c r="G169" s="25">
        <f>IF(E169="","",E169-N(F169))</f>
        <v/>
      </c>
      <c r="H169" s="9" t="n"/>
      <c r="I169" s="45" t="n"/>
    </row>
    <row r="170">
      <c r="A170" s="35" t="n"/>
      <c r="B170" s="9" t="n"/>
      <c r="C170" s="9" t="n"/>
      <c r="D170" s="45" t="n"/>
      <c r="E170" s="24" t="n"/>
      <c r="F170" s="24" t="n"/>
      <c r="G170" s="25">
        <f>IF(E170="","",E170-N(F170))</f>
        <v/>
      </c>
      <c r="H170" s="9" t="n"/>
      <c r="I170" s="45" t="n"/>
    </row>
    <row r="171">
      <c r="A171" s="35" t="n"/>
      <c r="B171" s="9" t="n"/>
      <c r="C171" s="9" t="n"/>
      <c r="D171" s="45" t="n"/>
      <c r="E171" s="24" t="n"/>
      <c r="F171" s="24" t="n"/>
      <c r="G171" s="25">
        <f>IF(E171="","",E171-N(F171))</f>
        <v/>
      </c>
      <c r="H171" s="9" t="n"/>
      <c r="I171" s="45" t="n"/>
    </row>
    <row r="172">
      <c r="A172" s="35" t="n"/>
      <c r="B172" s="9" t="n"/>
      <c r="C172" s="9" t="n"/>
      <c r="D172" s="45" t="n"/>
      <c r="E172" s="24" t="n"/>
      <c r="F172" s="24" t="n"/>
      <c r="G172" s="25">
        <f>IF(E172="","",E172-N(F172))</f>
        <v/>
      </c>
      <c r="H172" s="9" t="n"/>
      <c r="I172" s="45" t="n"/>
    </row>
    <row r="173">
      <c r="A173" s="35" t="n"/>
      <c r="B173" s="9" t="n"/>
      <c r="C173" s="9" t="n"/>
      <c r="D173" s="45" t="n"/>
      <c r="E173" s="24" t="n"/>
      <c r="F173" s="24" t="n"/>
      <c r="G173" s="25">
        <f>IF(E173="","",E173-N(F173))</f>
        <v/>
      </c>
      <c r="H173" s="9" t="n"/>
      <c r="I173" s="45" t="n"/>
    </row>
    <row r="174">
      <c r="A174" s="35" t="n"/>
      <c r="B174" s="9" t="n"/>
      <c r="C174" s="9" t="n"/>
      <c r="D174" s="45" t="n"/>
      <c r="E174" s="24" t="n"/>
      <c r="F174" s="24" t="n"/>
      <c r="G174" s="25">
        <f>IF(E174="","",E174-N(F174))</f>
        <v/>
      </c>
      <c r="H174" s="9" t="n"/>
      <c r="I174" s="45" t="n"/>
    </row>
    <row r="175">
      <c r="A175" s="35" t="n"/>
      <c r="B175" s="9" t="n"/>
      <c r="C175" s="9" t="n"/>
      <c r="D175" s="45" t="n"/>
      <c r="E175" s="24" t="n"/>
      <c r="F175" s="24" t="n"/>
      <c r="G175" s="25">
        <f>IF(E175="","",E175-N(F175))</f>
        <v/>
      </c>
      <c r="H175" s="9" t="n"/>
      <c r="I175" s="45" t="n"/>
    </row>
    <row r="176">
      <c r="A176" s="35" t="n"/>
      <c r="B176" s="9" t="n"/>
      <c r="C176" s="9" t="n"/>
      <c r="D176" s="45" t="n"/>
      <c r="E176" s="24" t="n"/>
      <c r="F176" s="24" t="n"/>
      <c r="G176" s="25">
        <f>IF(E176="","",E176-N(F176))</f>
        <v/>
      </c>
      <c r="H176" s="9" t="n"/>
      <c r="I176" s="45" t="n"/>
    </row>
    <row r="177">
      <c r="A177" s="35" t="n"/>
      <c r="B177" s="9" t="n"/>
      <c r="C177" s="9" t="n"/>
      <c r="D177" s="45" t="n"/>
      <c r="E177" s="24" t="n"/>
      <c r="F177" s="24" t="n"/>
      <c r="G177" s="25">
        <f>IF(E177="","",E177-N(F177))</f>
        <v/>
      </c>
      <c r="H177" s="9" t="n"/>
      <c r="I177" s="45" t="n"/>
    </row>
    <row r="178">
      <c r="A178" s="35" t="n"/>
      <c r="B178" s="9" t="n"/>
      <c r="C178" s="9" t="n"/>
      <c r="D178" s="45" t="n"/>
      <c r="E178" s="24" t="n"/>
      <c r="F178" s="24" t="n"/>
      <c r="G178" s="25">
        <f>IF(E178="","",E178-N(F178))</f>
        <v/>
      </c>
      <c r="H178" s="9" t="n"/>
      <c r="I178" s="45" t="n"/>
    </row>
    <row r="179">
      <c r="A179" s="35" t="n"/>
      <c r="B179" s="9" t="n"/>
      <c r="C179" s="9" t="n"/>
      <c r="D179" s="45" t="n"/>
      <c r="E179" s="24" t="n"/>
      <c r="F179" s="24" t="n"/>
      <c r="G179" s="25">
        <f>IF(E179="","",E179-N(F179))</f>
        <v/>
      </c>
      <c r="H179" s="9" t="n"/>
      <c r="I179" s="45" t="n"/>
    </row>
    <row r="180">
      <c r="A180" s="35" t="n"/>
      <c r="B180" s="9" t="n"/>
      <c r="C180" s="9" t="n"/>
      <c r="D180" s="45" t="n"/>
      <c r="E180" s="24" t="n"/>
      <c r="F180" s="24" t="n"/>
      <c r="G180" s="25">
        <f>IF(E180="","",E180-N(F180))</f>
        <v/>
      </c>
      <c r="H180" s="9" t="n"/>
      <c r="I180" s="45" t="n"/>
    </row>
    <row r="181">
      <c r="A181" s="35" t="n"/>
      <c r="B181" s="9" t="n"/>
      <c r="C181" s="9" t="n"/>
      <c r="D181" s="45" t="n"/>
      <c r="E181" s="24" t="n"/>
      <c r="F181" s="24" t="n"/>
      <c r="G181" s="25">
        <f>IF(E181="","",E181-N(F181))</f>
        <v/>
      </c>
      <c r="H181" s="9" t="n"/>
      <c r="I181" s="45" t="n"/>
    </row>
    <row r="182">
      <c r="A182" s="35" t="n"/>
      <c r="B182" s="9" t="n"/>
      <c r="C182" s="9" t="n"/>
      <c r="D182" s="45" t="n"/>
      <c r="E182" s="24" t="n"/>
      <c r="F182" s="24" t="n"/>
      <c r="G182" s="25">
        <f>IF(E182="","",E182-N(F182))</f>
        <v/>
      </c>
      <c r="H182" s="9" t="n"/>
      <c r="I182" s="45" t="n"/>
    </row>
    <row r="183">
      <c r="A183" s="35" t="n"/>
      <c r="B183" s="9" t="n"/>
      <c r="C183" s="9" t="n"/>
      <c r="D183" s="45" t="n"/>
      <c r="E183" s="24" t="n"/>
      <c r="F183" s="24" t="n"/>
      <c r="G183" s="25">
        <f>IF(E183="","",E183-N(F183))</f>
        <v/>
      </c>
      <c r="H183" s="9" t="n"/>
      <c r="I183" s="45" t="n"/>
    </row>
    <row r="184">
      <c r="A184" s="35" t="n"/>
      <c r="B184" s="9" t="n"/>
      <c r="C184" s="9" t="n"/>
      <c r="D184" s="45" t="n"/>
      <c r="E184" s="24" t="n"/>
      <c r="F184" s="24" t="n"/>
      <c r="G184" s="25">
        <f>IF(E184="","",E184-N(F184))</f>
        <v/>
      </c>
      <c r="H184" s="9" t="n"/>
      <c r="I184" s="45" t="n"/>
    </row>
    <row r="185">
      <c r="A185" s="35" t="n"/>
      <c r="B185" s="9" t="n"/>
      <c r="C185" s="9" t="n"/>
      <c r="D185" s="45" t="n"/>
      <c r="E185" s="24" t="n"/>
      <c r="F185" s="24" t="n"/>
      <c r="G185" s="25">
        <f>IF(E185="","",E185-N(F185))</f>
        <v/>
      </c>
      <c r="H185" s="9" t="n"/>
      <c r="I185" s="45" t="n"/>
    </row>
    <row r="186">
      <c r="A186" s="35" t="n"/>
      <c r="B186" s="9" t="n"/>
      <c r="C186" s="9" t="n"/>
      <c r="D186" s="45" t="n"/>
      <c r="E186" s="24" t="n"/>
      <c r="F186" s="24" t="n"/>
      <c r="G186" s="25">
        <f>IF(E186="","",E186-N(F186))</f>
        <v/>
      </c>
      <c r="H186" s="9" t="n"/>
      <c r="I186" s="45" t="n"/>
    </row>
    <row r="187">
      <c r="A187" s="35" t="n"/>
      <c r="B187" s="9" t="n"/>
      <c r="C187" s="9" t="n"/>
      <c r="D187" s="45" t="n"/>
      <c r="E187" s="24" t="n"/>
      <c r="F187" s="24" t="n"/>
      <c r="G187" s="25">
        <f>IF(E187="","",E187-N(F187))</f>
        <v/>
      </c>
      <c r="H187" s="9" t="n"/>
      <c r="I187" s="45" t="n"/>
    </row>
    <row r="188">
      <c r="A188" s="35" t="n"/>
      <c r="B188" s="9" t="n"/>
      <c r="C188" s="9" t="n"/>
      <c r="D188" s="45" t="n"/>
      <c r="E188" s="24" t="n"/>
      <c r="F188" s="24" t="n"/>
      <c r="G188" s="25">
        <f>IF(E188="","",E188-N(F188))</f>
        <v/>
      </c>
      <c r="H188" s="9" t="n"/>
      <c r="I188" s="45" t="n"/>
    </row>
    <row r="189">
      <c r="A189" s="35" t="n"/>
      <c r="B189" s="9" t="n"/>
      <c r="C189" s="9" t="n"/>
      <c r="D189" s="45" t="n"/>
      <c r="E189" s="24" t="n"/>
      <c r="F189" s="24" t="n"/>
      <c r="G189" s="25">
        <f>IF(E189="","",E189-N(F189))</f>
        <v/>
      </c>
      <c r="H189" s="9" t="n"/>
      <c r="I189" s="45" t="n"/>
    </row>
    <row r="190">
      <c r="A190" s="35" t="n"/>
      <c r="B190" s="9" t="n"/>
      <c r="C190" s="9" t="n"/>
      <c r="D190" s="45" t="n"/>
      <c r="E190" s="24" t="n"/>
      <c r="F190" s="24" t="n"/>
      <c r="G190" s="25">
        <f>IF(E190="","",E190-N(F190))</f>
        <v/>
      </c>
      <c r="H190" s="9" t="n"/>
      <c r="I190" s="45" t="n"/>
    </row>
    <row r="191">
      <c r="A191" s="35" t="n"/>
      <c r="B191" s="9" t="n"/>
      <c r="C191" s="9" t="n"/>
      <c r="D191" s="45" t="n"/>
      <c r="E191" s="24" t="n"/>
      <c r="F191" s="24" t="n"/>
      <c r="G191" s="25">
        <f>IF(E191="","",E191-N(F191))</f>
        <v/>
      </c>
      <c r="H191" s="9" t="n"/>
      <c r="I191" s="45" t="n"/>
    </row>
    <row r="192">
      <c r="A192" s="35" t="n"/>
      <c r="B192" s="9" t="n"/>
      <c r="C192" s="9" t="n"/>
      <c r="D192" s="45" t="n"/>
      <c r="E192" s="24" t="n"/>
      <c r="F192" s="24" t="n"/>
      <c r="G192" s="25">
        <f>IF(E192="","",E192-N(F192))</f>
        <v/>
      </c>
      <c r="H192" s="9" t="n"/>
      <c r="I192" s="45" t="n"/>
    </row>
    <row r="193">
      <c r="A193" s="35" t="n"/>
      <c r="B193" s="9" t="n"/>
      <c r="C193" s="9" t="n"/>
      <c r="D193" s="45" t="n"/>
      <c r="E193" s="24" t="n"/>
      <c r="F193" s="24" t="n"/>
      <c r="G193" s="25">
        <f>IF(E193="","",E193-N(F193))</f>
        <v/>
      </c>
      <c r="H193" s="9" t="n"/>
      <c r="I193" s="45" t="n"/>
    </row>
    <row r="194">
      <c r="A194" s="35" t="n"/>
      <c r="B194" s="9" t="n"/>
      <c r="C194" s="9" t="n"/>
      <c r="D194" s="45" t="n"/>
      <c r="E194" s="24" t="n"/>
      <c r="F194" s="24" t="n"/>
      <c r="G194" s="25">
        <f>IF(E194="","",E194-N(F194))</f>
        <v/>
      </c>
      <c r="H194" s="9" t="n"/>
      <c r="I194" s="45" t="n"/>
    </row>
    <row r="195">
      <c r="A195" s="35" t="n"/>
      <c r="B195" s="9" t="n"/>
      <c r="C195" s="9" t="n"/>
      <c r="D195" s="45" t="n"/>
      <c r="E195" s="24" t="n"/>
      <c r="F195" s="24" t="n"/>
      <c r="G195" s="25">
        <f>IF(E195="","",E195-N(F195))</f>
        <v/>
      </c>
      <c r="H195" s="9" t="n"/>
      <c r="I195" s="45" t="n"/>
    </row>
    <row r="196">
      <c r="A196" s="35" t="n"/>
      <c r="B196" s="9" t="n"/>
      <c r="C196" s="9" t="n"/>
      <c r="D196" s="45" t="n"/>
      <c r="E196" s="24" t="n"/>
      <c r="F196" s="24" t="n"/>
      <c r="G196" s="25">
        <f>IF(E196="","",E196-N(F196))</f>
        <v/>
      </c>
      <c r="H196" s="9" t="n"/>
      <c r="I196" s="45" t="n"/>
    </row>
    <row r="197">
      <c r="A197" s="35" t="n"/>
      <c r="B197" s="9" t="n"/>
      <c r="C197" s="9" t="n"/>
      <c r="D197" s="45" t="n"/>
      <c r="E197" s="24" t="n"/>
      <c r="F197" s="24" t="n"/>
      <c r="G197" s="25">
        <f>IF(E197="","",E197-N(F197))</f>
        <v/>
      </c>
      <c r="H197" s="9" t="n"/>
      <c r="I197" s="45" t="n"/>
    </row>
    <row r="198">
      <c r="A198" s="35" t="n"/>
      <c r="B198" s="9" t="n"/>
      <c r="C198" s="9" t="n"/>
      <c r="D198" s="45" t="n"/>
      <c r="E198" s="24" t="n"/>
      <c r="F198" s="24" t="n"/>
      <c r="G198" s="25">
        <f>IF(E198="","",E198-N(F198))</f>
        <v/>
      </c>
      <c r="H198" s="9" t="n"/>
      <c r="I198" s="45" t="n"/>
    </row>
    <row r="199">
      <c r="A199" s="35" t="n"/>
      <c r="B199" s="9" t="n"/>
      <c r="C199" s="9" t="n"/>
      <c r="D199" s="45" t="n"/>
      <c r="E199" s="24" t="n"/>
      <c r="F199" s="24" t="n"/>
      <c r="G199" s="25">
        <f>IF(E199="","",E199-N(F199))</f>
        <v/>
      </c>
      <c r="H199" s="9" t="n"/>
      <c r="I199" s="45" t="n"/>
    </row>
    <row r="200">
      <c r="A200" s="35" t="n"/>
      <c r="B200" s="9" t="n"/>
      <c r="C200" s="9" t="n"/>
      <c r="D200" s="45" t="n"/>
      <c r="E200" s="24" t="n"/>
      <c r="F200" s="24" t="n"/>
      <c r="G200" s="25">
        <f>IF(E200="","",E200-N(F200))</f>
        <v/>
      </c>
      <c r="H200" s="9" t="n"/>
      <c r="I200" s="45" t="n"/>
    </row>
    <row r="201">
      <c r="A201" s="35" t="n"/>
      <c r="B201" s="9" t="n"/>
      <c r="C201" s="9" t="n"/>
      <c r="D201" s="45" t="n"/>
      <c r="E201" s="24" t="n"/>
      <c r="F201" s="24" t="n"/>
      <c r="G201" s="25">
        <f>IF(E201="","",E201-N(F201))</f>
        <v/>
      </c>
      <c r="H201" s="9" t="n"/>
      <c r="I201" s="45" t="n"/>
    </row>
    <row r="202">
      <c r="A202" s="35" t="n"/>
      <c r="B202" s="9" t="n"/>
      <c r="C202" s="9" t="n"/>
      <c r="D202" s="45" t="n"/>
      <c r="E202" s="24" t="n"/>
      <c r="F202" s="24" t="n"/>
      <c r="G202" s="25">
        <f>IF(E202="","",E202-N(F202))</f>
        <v/>
      </c>
      <c r="H202" s="9" t="n"/>
      <c r="I202" s="45" t="n"/>
    </row>
    <row r="203">
      <c r="A203" s="35" t="n"/>
      <c r="B203" s="9" t="n"/>
      <c r="C203" s="9" t="n"/>
      <c r="D203" s="45" t="n"/>
      <c r="E203" s="24" t="n"/>
      <c r="F203" s="24" t="n"/>
      <c r="G203" s="25">
        <f>IF(E203="","",E203-N(F203))</f>
        <v/>
      </c>
      <c r="H203" s="9" t="n"/>
      <c r="I203" s="45" t="n"/>
    </row>
    <row r="204">
      <c r="A204" s="35" t="n"/>
      <c r="B204" s="9" t="n"/>
      <c r="C204" s="9" t="n"/>
      <c r="D204" s="45" t="n"/>
      <c r="E204" s="24" t="n"/>
      <c r="F204" s="24" t="n"/>
      <c r="G204" s="25">
        <f>IF(E204="","",E204-N(F204))</f>
        <v/>
      </c>
      <c r="H204" s="9" t="n"/>
      <c r="I204" s="45" t="n"/>
    </row>
    <row r="205">
      <c r="A205" s="35" t="n"/>
      <c r="B205" s="9" t="n"/>
      <c r="C205" s="9" t="n"/>
      <c r="D205" s="45" t="n"/>
      <c r="E205" s="24" t="n"/>
      <c r="F205" s="24" t="n"/>
      <c r="G205" s="25">
        <f>IF(E205="","",E205-N(F205))</f>
        <v/>
      </c>
      <c r="H205" s="9" t="n"/>
      <c r="I205" s="45" t="n"/>
    </row>
    <row r="206">
      <c r="A206" s="35" t="n"/>
      <c r="B206" s="9" t="n"/>
      <c r="C206" s="9" t="n"/>
      <c r="D206" s="45" t="n"/>
      <c r="E206" s="24" t="n"/>
      <c r="F206" s="24" t="n"/>
      <c r="G206" s="25">
        <f>IF(E206="","",E206-N(F206))</f>
        <v/>
      </c>
      <c r="H206" s="9" t="n"/>
      <c r="I206" s="45" t="n"/>
    </row>
    <row r="207">
      <c r="A207" s="35" t="n"/>
      <c r="B207" s="9" t="n"/>
      <c r="C207" s="9" t="n"/>
      <c r="D207" s="45" t="n"/>
      <c r="E207" s="24" t="n"/>
      <c r="F207" s="24" t="n"/>
      <c r="G207" s="25">
        <f>IF(E207="","",E207-N(F207))</f>
        <v/>
      </c>
      <c r="H207" s="9" t="n"/>
      <c r="I207" s="45" t="n"/>
    </row>
    <row r="208">
      <c r="A208" s="35" t="n"/>
      <c r="B208" s="9" t="n"/>
      <c r="C208" s="9" t="n"/>
      <c r="D208" s="45" t="n"/>
      <c r="E208" s="24" t="n"/>
      <c r="F208" s="24" t="n"/>
      <c r="G208" s="25">
        <f>IF(E208="","",E208-N(F208))</f>
        <v/>
      </c>
      <c r="H208" s="9" t="n"/>
      <c r="I208" s="45" t="n"/>
    </row>
    <row r="209">
      <c r="A209" s="35" t="n"/>
      <c r="B209" s="9" t="n"/>
      <c r="C209" s="9" t="n"/>
      <c r="D209" s="45" t="n"/>
      <c r="E209" s="24" t="n"/>
      <c r="F209" s="24" t="n"/>
      <c r="G209" s="25">
        <f>IF(E209="","",E209-N(F209))</f>
        <v/>
      </c>
      <c r="H209" s="9" t="n"/>
      <c r="I209" s="45" t="n"/>
    </row>
    <row r="210">
      <c r="A210" s="35" t="n"/>
      <c r="B210" s="9" t="n"/>
      <c r="C210" s="9" t="n"/>
      <c r="D210" s="45" t="n"/>
      <c r="E210" s="24" t="n"/>
      <c r="F210" s="24" t="n"/>
      <c r="G210" s="25">
        <f>IF(E210="","",E210-N(F210))</f>
        <v/>
      </c>
      <c r="H210" s="9" t="n"/>
      <c r="I210" s="45" t="n"/>
    </row>
    <row r="211">
      <c r="A211" s="35" t="n"/>
      <c r="B211" s="9" t="n"/>
      <c r="C211" s="9" t="n"/>
      <c r="D211" s="45" t="n"/>
      <c r="E211" s="24" t="n"/>
      <c r="F211" s="24" t="n"/>
      <c r="G211" s="25">
        <f>IF(E211="","",E211-N(F211))</f>
        <v/>
      </c>
      <c r="H211" s="9" t="n"/>
      <c r="I211" s="45" t="n"/>
    </row>
    <row r="212">
      <c r="A212" s="35" t="n"/>
      <c r="B212" s="9" t="n"/>
      <c r="C212" s="9" t="n"/>
      <c r="D212" s="45" t="n"/>
      <c r="E212" s="24" t="n"/>
      <c r="F212" s="24" t="n"/>
      <c r="G212" s="25">
        <f>IF(E212="","",E212-N(F212))</f>
        <v/>
      </c>
      <c r="H212" s="9" t="n"/>
      <c r="I212" s="45" t="n"/>
    </row>
    <row r="213">
      <c r="A213" s="35" t="n"/>
      <c r="B213" s="9" t="n"/>
      <c r="C213" s="9" t="n"/>
      <c r="D213" s="45" t="n"/>
      <c r="E213" s="24" t="n"/>
      <c r="F213" s="24" t="n"/>
      <c r="G213" s="25">
        <f>IF(E213="","",E213-N(F213))</f>
        <v/>
      </c>
      <c r="H213" s="9" t="n"/>
      <c r="I213" s="45" t="n"/>
    </row>
    <row r="214">
      <c r="A214" s="35" t="n"/>
      <c r="B214" s="9" t="n"/>
      <c r="C214" s="9" t="n"/>
      <c r="D214" s="45" t="n"/>
      <c r="E214" s="24" t="n"/>
      <c r="F214" s="24" t="n"/>
      <c r="G214" s="25">
        <f>IF(E214="","",E214-N(F214))</f>
        <v/>
      </c>
      <c r="H214" s="9" t="n"/>
      <c r="I214" s="45" t="n"/>
    </row>
    <row r="215">
      <c r="A215" s="35" t="n"/>
      <c r="B215" s="9" t="n"/>
      <c r="C215" s="9" t="n"/>
      <c r="D215" s="45" t="n"/>
      <c r="E215" s="24" t="n"/>
      <c r="F215" s="24" t="n"/>
      <c r="G215" s="25">
        <f>IF(E215="","",E215-N(F215))</f>
        <v/>
      </c>
      <c r="H215" s="9" t="n"/>
      <c r="I215" s="45" t="n"/>
    </row>
    <row r="216">
      <c r="A216" s="35" t="n"/>
      <c r="B216" s="9" t="n"/>
      <c r="C216" s="9" t="n"/>
      <c r="D216" s="45" t="n"/>
      <c r="E216" s="24" t="n"/>
      <c r="F216" s="24" t="n"/>
      <c r="G216" s="25">
        <f>IF(E216="","",E216-N(F216))</f>
        <v/>
      </c>
      <c r="H216" s="9" t="n"/>
      <c r="I216" s="45" t="n"/>
    </row>
    <row r="217">
      <c r="A217" s="35" t="n"/>
      <c r="B217" s="9" t="n"/>
      <c r="C217" s="9" t="n"/>
      <c r="D217" s="45" t="n"/>
      <c r="E217" s="24" t="n"/>
      <c r="F217" s="24" t="n"/>
      <c r="G217" s="25">
        <f>IF(E217="","",E217-N(F217))</f>
        <v/>
      </c>
      <c r="H217" s="9" t="n"/>
      <c r="I217" s="45" t="n"/>
    </row>
    <row r="218">
      <c r="A218" s="35" t="n"/>
      <c r="B218" s="9" t="n"/>
      <c r="C218" s="9" t="n"/>
      <c r="D218" s="45" t="n"/>
      <c r="E218" s="24" t="n"/>
      <c r="F218" s="24" t="n"/>
      <c r="G218" s="25">
        <f>IF(E218="","",E218-N(F218))</f>
        <v/>
      </c>
      <c r="H218" s="9" t="n"/>
      <c r="I218" s="45" t="n"/>
    </row>
    <row r="219">
      <c r="A219" s="35" t="n"/>
      <c r="B219" s="9" t="n"/>
      <c r="C219" s="9" t="n"/>
      <c r="D219" s="45" t="n"/>
      <c r="E219" s="24" t="n"/>
      <c r="F219" s="24" t="n"/>
      <c r="G219" s="25">
        <f>IF(E219="","",E219-N(F219))</f>
        <v/>
      </c>
      <c r="H219" s="9" t="n"/>
      <c r="I219" s="45" t="n"/>
    </row>
    <row r="220">
      <c r="A220" s="35" t="n"/>
      <c r="B220" s="9" t="n"/>
      <c r="C220" s="9" t="n"/>
      <c r="D220" s="45" t="n"/>
      <c r="E220" s="24" t="n"/>
      <c r="F220" s="24" t="n"/>
      <c r="G220" s="25">
        <f>IF(E220="","",E220-N(F220))</f>
        <v/>
      </c>
      <c r="H220" s="9" t="n"/>
      <c r="I220" s="45" t="n"/>
    </row>
    <row r="221">
      <c r="A221" s="35" t="n"/>
      <c r="B221" s="9" t="n"/>
      <c r="C221" s="9" t="n"/>
      <c r="D221" s="45" t="n"/>
      <c r="E221" s="24" t="n"/>
      <c r="F221" s="24" t="n"/>
      <c r="G221" s="25">
        <f>IF(E221="","",E221-N(F221))</f>
        <v/>
      </c>
      <c r="H221" s="9" t="n"/>
      <c r="I221" s="45" t="n"/>
    </row>
    <row r="222">
      <c r="A222" s="35" t="n"/>
      <c r="B222" s="9" t="n"/>
      <c r="C222" s="9" t="n"/>
      <c r="D222" s="45" t="n"/>
      <c r="E222" s="24" t="n"/>
      <c r="F222" s="24" t="n"/>
      <c r="G222" s="25">
        <f>IF(E222="","",E222-N(F222))</f>
        <v/>
      </c>
      <c r="H222" s="9" t="n"/>
      <c r="I222" s="45" t="n"/>
    </row>
    <row r="223">
      <c r="A223" s="35" t="n"/>
      <c r="B223" s="9" t="n"/>
      <c r="C223" s="9" t="n"/>
      <c r="D223" s="45" t="n"/>
      <c r="E223" s="24" t="n"/>
      <c r="F223" s="24" t="n"/>
      <c r="G223" s="25">
        <f>IF(E223="","",E223-N(F223))</f>
        <v/>
      </c>
      <c r="H223" s="9" t="n"/>
      <c r="I223" s="45" t="n"/>
    </row>
    <row r="224">
      <c r="A224" s="35" t="n"/>
      <c r="B224" s="9" t="n"/>
      <c r="C224" s="9" t="n"/>
      <c r="D224" s="45" t="n"/>
      <c r="E224" s="24" t="n"/>
      <c r="F224" s="24" t="n"/>
      <c r="G224" s="25">
        <f>IF(E224="","",E224-N(F224))</f>
        <v/>
      </c>
      <c r="H224" s="9" t="n"/>
      <c r="I224" s="45" t="n"/>
    </row>
    <row r="225">
      <c r="A225" s="35" t="n"/>
      <c r="B225" s="9" t="n"/>
      <c r="C225" s="9" t="n"/>
      <c r="D225" s="45" t="n"/>
      <c r="E225" s="24" t="n"/>
      <c r="F225" s="24" t="n"/>
      <c r="G225" s="25">
        <f>IF(E225="","",E225-N(F225))</f>
        <v/>
      </c>
      <c r="H225" s="9" t="n"/>
      <c r="I225" s="45" t="n"/>
    </row>
    <row r="226">
      <c r="A226" s="35" t="n"/>
      <c r="B226" s="9" t="n"/>
      <c r="C226" s="9" t="n"/>
      <c r="D226" s="45" t="n"/>
      <c r="E226" s="24" t="n"/>
      <c r="F226" s="24" t="n"/>
      <c r="G226" s="25">
        <f>IF(E226="","",E226-N(F226))</f>
        <v/>
      </c>
      <c r="H226" s="9" t="n"/>
      <c r="I226" s="45" t="n"/>
    </row>
    <row r="227">
      <c r="A227" s="35" t="n"/>
      <c r="B227" s="9" t="n"/>
      <c r="C227" s="9" t="n"/>
      <c r="D227" s="45" t="n"/>
      <c r="E227" s="24" t="n"/>
      <c r="F227" s="24" t="n"/>
      <c r="G227" s="25">
        <f>IF(E227="","",E227-N(F227))</f>
        <v/>
      </c>
      <c r="H227" s="9" t="n"/>
      <c r="I227" s="45" t="n"/>
    </row>
    <row r="228">
      <c r="A228" s="35" t="n"/>
      <c r="B228" s="9" t="n"/>
      <c r="C228" s="9" t="n"/>
      <c r="D228" s="45" t="n"/>
      <c r="E228" s="24" t="n"/>
      <c r="F228" s="24" t="n"/>
      <c r="G228" s="25">
        <f>IF(E228="","",E228-N(F228))</f>
        <v/>
      </c>
      <c r="H228" s="9" t="n"/>
      <c r="I228" s="45" t="n"/>
    </row>
    <row r="229">
      <c r="A229" s="35" t="n"/>
      <c r="B229" s="9" t="n"/>
      <c r="C229" s="9" t="n"/>
      <c r="D229" s="45" t="n"/>
      <c r="E229" s="24" t="n"/>
      <c r="F229" s="24" t="n"/>
      <c r="G229" s="25">
        <f>IF(E229="","",E229-N(F229))</f>
        <v/>
      </c>
      <c r="H229" s="9" t="n"/>
      <c r="I229" s="45" t="n"/>
    </row>
    <row r="230">
      <c r="A230" s="35" t="n"/>
      <c r="B230" s="9" t="n"/>
      <c r="C230" s="9" t="n"/>
      <c r="D230" s="45" t="n"/>
      <c r="E230" s="24" t="n"/>
      <c r="F230" s="24" t="n"/>
      <c r="G230" s="25">
        <f>IF(E230="","",E230-N(F230))</f>
        <v/>
      </c>
      <c r="H230" s="9" t="n"/>
      <c r="I230" s="45" t="n"/>
    </row>
    <row r="231">
      <c r="A231" s="35" t="n"/>
      <c r="B231" s="9" t="n"/>
      <c r="C231" s="9" t="n"/>
      <c r="D231" s="45" t="n"/>
      <c r="E231" s="24" t="n"/>
      <c r="F231" s="24" t="n"/>
      <c r="G231" s="25">
        <f>IF(E231="","",E231-N(F231))</f>
        <v/>
      </c>
      <c r="H231" s="9" t="n"/>
      <c r="I231" s="45" t="n"/>
    </row>
    <row r="232">
      <c r="A232" s="35" t="n"/>
      <c r="B232" s="9" t="n"/>
      <c r="C232" s="9" t="n"/>
      <c r="D232" s="45" t="n"/>
      <c r="E232" s="24" t="n"/>
      <c r="F232" s="24" t="n"/>
      <c r="G232" s="25">
        <f>IF(E232="","",E232-N(F232))</f>
        <v/>
      </c>
      <c r="H232" s="9" t="n"/>
      <c r="I232" s="45" t="n"/>
    </row>
    <row r="233">
      <c r="A233" s="35" t="n"/>
      <c r="B233" s="9" t="n"/>
      <c r="C233" s="9" t="n"/>
      <c r="D233" s="45" t="n"/>
      <c r="E233" s="24" t="n"/>
      <c r="F233" s="24" t="n"/>
      <c r="G233" s="25">
        <f>IF(E233="","",E233-N(F233))</f>
        <v/>
      </c>
      <c r="H233" s="9" t="n"/>
      <c r="I233" s="45" t="n"/>
    </row>
    <row r="234">
      <c r="A234" s="35" t="n"/>
      <c r="B234" s="9" t="n"/>
      <c r="C234" s="9" t="n"/>
      <c r="D234" s="45" t="n"/>
      <c r="E234" s="24" t="n"/>
      <c r="F234" s="24" t="n"/>
      <c r="G234" s="25">
        <f>IF(E234="","",E234-N(F234))</f>
        <v/>
      </c>
      <c r="H234" s="9" t="n"/>
      <c r="I234" s="45" t="n"/>
    </row>
    <row r="235">
      <c r="A235" s="35" t="n"/>
      <c r="B235" s="9" t="n"/>
      <c r="C235" s="9" t="n"/>
      <c r="D235" s="45" t="n"/>
      <c r="E235" s="24" t="n"/>
      <c r="F235" s="24" t="n"/>
      <c r="G235" s="25">
        <f>IF(E235="","",E235-N(F235))</f>
        <v/>
      </c>
      <c r="H235" s="9" t="n"/>
      <c r="I235" s="45" t="n"/>
    </row>
    <row r="236">
      <c r="A236" s="35" t="n"/>
      <c r="B236" s="9" t="n"/>
      <c r="C236" s="9" t="n"/>
      <c r="D236" s="45" t="n"/>
      <c r="E236" s="24" t="n"/>
      <c r="F236" s="24" t="n"/>
      <c r="G236" s="25">
        <f>IF(E236="","",E236-N(F236))</f>
        <v/>
      </c>
      <c r="H236" s="9" t="n"/>
      <c r="I236" s="45" t="n"/>
    </row>
    <row r="237">
      <c r="A237" s="35" t="n"/>
      <c r="B237" s="9" t="n"/>
      <c r="C237" s="9" t="n"/>
      <c r="D237" s="45" t="n"/>
      <c r="E237" s="24" t="n"/>
      <c r="F237" s="24" t="n"/>
      <c r="G237" s="25">
        <f>IF(E237="","",E237-N(F237))</f>
        <v/>
      </c>
      <c r="H237" s="9" t="n"/>
      <c r="I237" s="45" t="n"/>
    </row>
    <row r="238">
      <c r="A238" s="35" t="n"/>
      <c r="B238" s="9" t="n"/>
      <c r="C238" s="9" t="n"/>
      <c r="D238" s="45" t="n"/>
      <c r="E238" s="24" t="n"/>
      <c r="F238" s="24" t="n"/>
      <c r="G238" s="25">
        <f>IF(E238="","",E238-N(F238))</f>
        <v/>
      </c>
      <c r="H238" s="9" t="n"/>
      <c r="I238" s="45" t="n"/>
    </row>
    <row r="239">
      <c r="A239" s="35" t="n"/>
      <c r="B239" s="9" t="n"/>
      <c r="C239" s="9" t="n"/>
      <c r="D239" s="45" t="n"/>
      <c r="E239" s="24" t="n"/>
      <c r="F239" s="24" t="n"/>
      <c r="G239" s="25">
        <f>IF(E239="","",E239-N(F239))</f>
        <v/>
      </c>
      <c r="H239" s="9" t="n"/>
      <c r="I239" s="45" t="n"/>
    </row>
    <row r="240">
      <c r="A240" s="35" t="n"/>
      <c r="B240" s="9" t="n"/>
      <c r="C240" s="9" t="n"/>
      <c r="D240" s="45" t="n"/>
      <c r="E240" s="24" t="n"/>
      <c r="F240" s="24" t="n"/>
      <c r="G240" s="25">
        <f>IF(E240="","",E240-N(F240))</f>
        <v/>
      </c>
      <c r="H240" s="9" t="n"/>
      <c r="I240" s="45" t="n"/>
    </row>
    <row r="241">
      <c r="A241" s="35" t="n"/>
      <c r="B241" s="9" t="n"/>
      <c r="C241" s="9" t="n"/>
      <c r="D241" s="45" t="n"/>
      <c r="E241" s="24" t="n"/>
      <c r="F241" s="24" t="n"/>
      <c r="G241" s="25">
        <f>IF(E241="","",E241-N(F241))</f>
        <v/>
      </c>
      <c r="H241" s="9" t="n"/>
      <c r="I241" s="45" t="n"/>
    </row>
    <row r="242">
      <c r="A242" s="35" t="n"/>
      <c r="B242" s="9" t="n"/>
      <c r="C242" s="9" t="n"/>
      <c r="D242" s="45" t="n"/>
      <c r="E242" s="24" t="n"/>
      <c r="F242" s="24" t="n"/>
      <c r="G242" s="25">
        <f>IF(E242="","",E242-N(F242))</f>
        <v/>
      </c>
      <c r="H242" s="9" t="n"/>
      <c r="I242" s="45" t="n"/>
    </row>
    <row r="243">
      <c r="A243" s="35" t="n"/>
      <c r="B243" s="9" t="n"/>
      <c r="C243" s="9" t="n"/>
      <c r="D243" s="45" t="n"/>
      <c r="E243" s="24" t="n"/>
      <c r="F243" s="24" t="n"/>
      <c r="G243" s="25">
        <f>IF(E243="","",E243-N(F243))</f>
        <v/>
      </c>
      <c r="H243" s="9" t="n"/>
      <c r="I243" s="45" t="n"/>
    </row>
    <row r="244">
      <c r="A244" s="35" t="n"/>
      <c r="B244" s="9" t="n"/>
      <c r="C244" s="9" t="n"/>
      <c r="D244" s="45" t="n"/>
      <c r="E244" s="24" t="n"/>
      <c r="F244" s="24" t="n"/>
      <c r="G244" s="25">
        <f>IF(E244="","",E244-N(F244))</f>
        <v/>
      </c>
      <c r="H244" s="9" t="n"/>
      <c r="I244" s="45" t="n"/>
    </row>
    <row r="245">
      <c r="A245" s="35" t="n"/>
      <c r="B245" s="9" t="n"/>
      <c r="C245" s="9" t="n"/>
      <c r="D245" s="45" t="n"/>
      <c r="E245" s="24" t="n"/>
      <c r="F245" s="24" t="n"/>
      <c r="G245" s="25">
        <f>IF(E245="","",E245-N(F245))</f>
        <v/>
      </c>
      <c r="H245" s="9" t="n"/>
      <c r="I245" s="45" t="n"/>
    </row>
    <row r="246">
      <c r="A246" s="35" t="n"/>
      <c r="B246" s="9" t="n"/>
      <c r="C246" s="9" t="n"/>
      <c r="D246" s="45" t="n"/>
      <c r="E246" s="24" t="n"/>
      <c r="F246" s="24" t="n"/>
      <c r="G246" s="25">
        <f>IF(E246="","",E246-N(F246))</f>
        <v/>
      </c>
      <c r="H246" s="9" t="n"/>
      <c r="I246" s="45" t="n"/>
    </row>
    <row r="247">
      <c r="A247" s="35" t="n"/>
      <c r="B247" s="9" t="n"/>
      <c r="C247" s="9" t="n"/>
      <c r="D247" s="45" t="n"/>
      <c r="E247" s="24" t="n"/>
      <c r="F247" s="24" t="n"/>
      <c r="G247" s="25">
        <f>IF(E247="","",E247-N(F247))</f>
        <v/>
      </c>
      <c r="H247" s="9" t="n"/>
      <c r="I247" s="45" t="n"/>
    </row>
    <row r="248">
      <c r="A248" s="35" t="n"/>
      <c r="B248" s="9" t="n"/>
      <c r="C248" s="9" t="n"/>
      <c r="D248" s="45" t="n"/>
      <c r="E248" s="24" t="n"/>
      <c r="F248" s="24" t="n"/>
      <c r="G248" s="25">
        <f>IF(E248="","",E248-N(F248))</f>
        <v/>
      </c>
      <c r="H248" s="9" t="n"/>
      <c r="I248" s="45" t="n"/>
    </row>
    <row r="249">
      <c r="A249" s="35" t="n"/>
      <c r="B249" s="9" t="n"/>
      <c r="C249" s="9" t="n"/>
      <c r="D249" s="45" t="n"/>
      <c r="E249" s="24" t="n"/>
      <c r="F249" s="24" t="n"/>
      <c r="G249" s="25">
        <f>IF(E249="","",E249-N(F249))</f>
        <v/>
      </c>
      <c r="H249" s="9" t="n"/>
      <c r="I249" s="45" t="n"/>
    </row>
    <row r="250">
      <c r="A250" s="35" t="n"/>
      <c r="B250" s="9" t="n"/>
      <c r="C250" s="9" t="n"/>
      <c r="D250" s="45" t="n"/>
      <c r="E250" s="24" t="n"/>
      <c r="F250" s="24" t="n"/>
      <c r="G250" s="25">
        <f>IF(E250="","",E250-N(F250))</f>
        <v/>
      </c>
      <c r="H250" s="9" t="n"/>
      <c r="I250" s="45" t="n"/>
    </row>
    <row r="251">
      <c r="A251" s="35" t="n"/>
      <c r="B251" s="9" t="n"/>
      <c r="C251" s="9" t="n"/>
      <c r="D251" s="45" t="n"/>
      <c r="E251" s="24" t="n"/>
      <c r="F251" s="24" t="n"/>
      <c r="G251" s="25">
        <f>IF(E251="","",E251-N(F251))</f>
        <v/>
      </c>
      <c r="H251" s="9" t="n"/>
      <c r="I251" s="45" t="n"/>
    </row>
    <row r="252">
      <c r="A252" s="35" t="n"/>
      <c r="B252" s="9" t="n"/>
      <c r="C252" s="9" t="n"/>
      <c r="D252" s="45" t="n"/>
      <c r="E252" s="24" t="n"/>
      <c r="F252" s="24" t="n"/>
      <c r="G252" s="25">
        <f>IF(E252="","",E252-N(F252))</f>
        <v/>
      </c>
      <c r="H252" s="9" t="n"/>
      <c r="I252" s="45" t="n"/>
    </row>
    <row r="253">
      <c r="A253" s="35" t="n"/>
      <c r="B253" s="9" t="n"/>
      <c r="C253" s="9" t="n"/>
      <c r="D253" s="45" t="n"/>
      <c r="E253" s="24" t="n"/>
      <c r="F253" s="24" t="n"/>
      <c r="G253" s="25">
        <f>IF(E253="","",E253-N(F253))</f>
        <v/>
      </c>
      <c r="H253" s="9" t="n"/>
      <c r="I253" s="45" t="n"/>
    </row>
    <row r="254">
      <c r="A254" s="35" t="n"/>
      <c r="B254" s="9" t="n"/>
      <c r="C254" s="9" t="n"/>
      <c r="D254" s="45" t="n"/>
      <c r="E254" s="24" t="n"/>
      <c r="F254" s="24" t="n"/>
      <c r="G254" s="25">
        <f>IF(E254="","",E254-N(F254))</f>
        <v/>
      </c>
      <c r="H254" s="9" t="n"/>
      <c r="I254" s="45" t="n"/>
    </row>
    <row r="255">
      <c r="A255" s="35" t="n"/>
      <c r="B255" s="9" t="n"/>
      <c r="C255" s="9" t="n"/>
      <c r="D255" s="45" t="n"/>
      <c r="E255" s="24" t="n"/>
      <c r="F255" s="24" t="n"/>
      <c r="G255" s="25">
        <f>IF(E255="","",E255-N(F255))</f>
        <v/>
      </c>
      <c r="H255" s="9" t="n"/>
      <c r="I255" s="45" t="n"/>
    </row>
    <row r="256">
      <c r="A256" s="35" t="n"/>
      <c r="B256" s="9" t="n"/>
      <c r="C256" s="9" t="n"/>
      <c r="D256" s="45" t="n"/>
      <c r="E256" s="24" t="n"/>
      <c r="F256" s="24" t="n"/>
      <c r="G256" s="25">
        <f>IF(E256="","",E256-N(F256))</f>
        <v/>
      </c>
      <c r="H256" s="9" t="n"/>
      <c r="I256" s="45" t="n"/>
    </row>
    <row r="257">
      <c r="A257" s="35" t="n"/>
      <c r="B257" s="9" t="n"/>
      <c r="C257" s="9" t="n"/>
      <c r="D257" s="45" t="n"/>
      <c r="E257" s="24" t="n"/>
      <c r="F257" s="24" t="n"/>
      <c r="G257" s="25">
        <f>IF(E257="","",E257-N(F257))</f>
        <v/>
      </c>
      <c r="H257" s="9" t="n"/>
      <c r="I257" s="45" t="n"/>
    </row>
    <row r="258">
      <c r="A258" s="35" t="n"/>
      <c r="B258" s="9" t="n"/>
      <c r="C258" s="9" t="n"/>
      <c r="D258" s="45" t="n"/>
      <c r="E258" s="24" t="n"/>
      <c r="F258" s="24" t="n"/>
      <c r="G258" s="25">
        <f>IF(E258="","",E258-N(F258))</f>
        <v/>
      </c>
      <c r="H258" s="9" t="n"/>
      <c r="I258" s="45" t="n"/>
    </row>
    <row r="259">
      <c r="A259" s="35" t="n"/>
      <c r="B259" s="9" t="n"/>
      <c r="C259" s="9" t="n"/>
      <c r="D259" s="45" t="n"/>
      <c r="E259" s="24" t="n"/>
      <c r="F259" s="24" t="n"/>
      <c r="G259" s="25">
        <f>IF(E259="","",E259-N(F259))</f>
        <v/>
      </c>
      <c r="H259" s="9" t="n"/>
      <c r="I259" s="45" t="n"/>
    </row>
    <row r="260">
      <c r="A260" s="35" t="n"/>
      <c r="B260" s="9" t="n"/>
      <c r="C260" s="9" t="n"/>
      <c r="D260" s="45" t="n"/>
      <c r="E260" s="24" t="n"/>
      <c r="F260" s="24" t="n"/>
      <c r="G260" s="25">
        <f>IF(E260="","",E260-N(F260))</f>
        <v/>
      </c>
      <c r="H260" s="9" t="n"/>
      <c r="I260" s="45" t="n"/>
    </row>
    <row r="261">
      <c r="A261" s="35" t="n"/>
      <c r="B261" s="9" t="n"/>
      <c r="C261" s="9" t="n"/>
      <c r="D261" s="45" t="n"/>
      <c r="E261" s="24" t="n"/>
      <c r="F261" s="24" t="n"/>
      <c r="G261" s="25">
        <f>IF(E261="","",E261-N(F261))</f>
        <v/>
      </c>
      <c r="H261" s="9" t="n"/>
      <c r="I261" s="45" t="n"/>
    </row>
    <row r="262">
      <c r="A262" s="35" t="n"/>
      <c r="B262" s="9" t="n"/>
      <c r="C262" s="9" t="n"/>
      <c r="D262" s="45" t="n"/>
      <c r="E262" s="24" t="n"/>
      <c r="F262" s="24" t="n"/>
      <c r="G262" s="25">
        <f>IF(E262="","",E262-N(F262))</f>
        <v/>
      </c>
      <c r="H262" s="9" t="n"/>
      <c r="I262" s="45" t="n"/>
    </row>
    <row r="263">
      <c r="A263" s="35" t="n"/>
      <c r="B263" s="9" t="n"/>
      <c r="C263" s="9" t="n"/>
      <c r="D263" s="45" t="n"/>
      <c r="E263" s="24" t="n"/>
      <c r="F263" s="24" t="n"/>
      <c r="G263" s="25">
        <f>IF(E263="","",E263-N(F263))</f>
        <v/>
      </c>
      <c r="H263" s="9" t="n"/>
      <c r="I263" s="45" t="n"/>
    </row>
    <row r="264">
      <c r="A264" s="35" t="n"/>
      <c r="B264" s="9" t="n"/>
      <c r="C264" s="9" t="n"/>
      <c r="D264" s="45" t="n"/>
      <c r="E264" s="24" t="n"/>
      <c r="F264" s="24" t="n"/>
      <c r="G264" s="25">
        <f>IF(E264="","",E264-N(F264))</f>
        <v/>
      </c>
      <c r="H264" s="9" t="n"/>
      <c r="I264" s="45" t="n"/>
    </row>
    <row r="265">
      <c r="A265" s="35" t="n"/>
      <c r="B265" s="9" t="n"/>
      <c r="C265" s="9" t="n"/>
      <c r="D265" s="45" t="n"/>
      <c r="E265" s="24" t="n"/>
      <c r="F265" s="24" t="n"/>
      <c r="G265" s="25">
        <f>IF(E265="","",E265-N(F265))</f>
        <v/>
      </c>
      <c r="H265" s="9" t="n"/>
      <c r="I265" s="45" t="n"/>
    </row>
    <row r="266">
      <c r="A266" s="35" t="n"/>
      <c r="B266" s="9" t="n"/>
      <c r="C266" s="9" t="n"/>
      <c r="D266" s="45" t="n"/>
      <c r="E266" s="24" t="n"/>
      <c r="F266" s="24" t="n"/>
      <c r="G266" s="25">
        <f>IF(E266="","",E266-N(F266))</f>
        <v/>
      </c>
      <c r="H266" s="9" t="n"/>
      <c r="I266" s="45" t="n"/>
    </row>
    <row r="267">
      <c r="A267" s="35" t="n"/>
      <c r="B267" s="9" t="n"/>
      <c r="C267" s="9" t="n"/>
      <c r="D267" s="45" t="n"/>
      <c r="E267" s="24" t="n"/>
      <c r="F267" s="24" t="n"/>
      <c r="G267" s="25">
        <f>IF(E267="","",E267-N(F267))</f>
        <v/>
      </c>
      <c r="H267" s="9" t="n"/>
      <c r="I267" s="45" t="n"/>
    </row>
    <row r="268">
      <c r="A268" s="35" t="n"/>
      <c r="B268" s="9" t="n"/>
      <c r="C268" s="9" t="n"/>
      <c r="D268" s="45" t="n"/>
      <c r="E268" s="24" t="n"/>
      <c r="F268" s="24" t="n"/>
      <c r="G268" s="25">
        <f>IF(E268="","",E268-N(F268))</f>
        <v/>
      </c>
      <c r="H268" s="9" t="n"/>
      <c r="I268" s="45" t="n"/>
    </row>
    <row r="269">
      <c r="A269" s="35" t="n"/>
      <c r="B269" s="9" t="n"/>
      <c r="C269" s="9" t="n"/>
      <c r="D269" s="45" t="n"/>
      <c r="E269" s="24" t="n"/>
      <c r="F269" s="24" t="n"/>
      <c r="G269" s="25">
        <f>IF(E269="","",E269-N(F269))</f>
        <v/>
      </c>
      <c r="H269" s="9" t="n"/>
      <c r="I269" s="45" t="n"/>
    </row>
    <row r="270">
      <c r="A270" s="35" t="n"/>
      <c r="B270" s="9" t="n"/>
      <c r="C270" s="9" t="n"/>
      <c r="D270" s="45" t="n"/>
      <c r="E270" s="24" t="n"/>
      <c r="F270" s="24" t="n"/>
      <c r="G270" s="25">
        <f>IF(E270="","",E270-N(F270))</f>
        <v/>
      </c>
      <c r="H270" s="9" t="n"/>
      <c r="I270" s="45" t="n"/>
    </row>
    <row r="271">
      <c r="A271" s="35" t="n"/>
      <c r="B271" s="9" t="n"/>
      <c r="C271" s="9" t="n"/>
      <c r="D271" s="45" t="n"/>
      <c r="E271" s="24" t="n"/>
      <c r="F271" s="24" t="n"/>
      <c r="G271" s="25">
        <f>IF(E271="","",E271-N(F271))</f>
        <v/>
      </c>
      <c r="H271" s="9" t="n"/>
      <c r="I271" s="45" t="n"/>
    </row>
    <row r="272">
      <c r="A272" s="35" t="n"/>
      <c r="B272" s="9" t="n"/>
      <c r="C272" s="9" t="n"/>
      <c r="D272" s="45" t="n"/>
      <c r="E272" s="24" t="n"/>
      <c r="F272" s="24" t="n"/>
      <c r="G272" s="25">
        <f>IF(E272="","",E272-N(F272))</f>
        <v/>
      </c>
      <c r="H272" s="9" t="n"/>
      <c r="I272" s="45" t="n"/>
    </row>
    <row r="273">
      <c r="A273" s="35" t="n"/>
      <c r="B273" s="9" t="n"/>
      <c r="C273" s="9" t="n"/>
      <c r="D273" s="45" t="n"/>
      <c r="E273" s="24" t="n"/>
      <c r="F273" s="24" t="n"/>
      <c r="G273" s="25">
        <f>IF(E273="","",E273-N(F273))</f>
        <v/>
      </c>
      <c r="H273" s="9" t="n"/>
      <c r="I273" s="45" t="n"/>
    </row>
    <row r="274">
      <c r="A274" s="35" t="n"/>
      <c r="B274" s="9" t="n"/>
      <c r="C274" s="9" t="n"/>
      <c r="D274" s="45" t="n"/>
      <c r="E274" s="24" t="n"/>
      <c r="F274" s="24" t="n"/>
      <c r="G274" s="25">
        <f>IF(E274="","",E274-N(F274))</f>
        <v/>
      </c>
      <c r="H274" s="9" t="n"/>
      <c r="I274" s="45" t="n"/>
    </row>
    <row r="275">
      <c r="A275" s="35" t="n"/>
      <c r="B275" s="9" t="n"/>
      <c r="C275" s="9" t="n"/>
      <c r="D275" s="45" t="n"/>
      <c r="E275" s="24" t="n"/>
      <c r="F275" s="24" t="n"/>
      <c r="G275" s="25">
        <f>IF(E275="","",E275-N(F275))</f>
        <v/>
      </c>
      <c r="H275" s="9" t="n"/>
      <c r="I275" s="45" t="n"/>
    </row>
    <row r="276">
      <c r="A276" s="35" t="n"/>
      <c r="B276" s="9" t="n"/>
      <c r="C276" s="9" t="n"/>
      <c r="D276" s="45" t="n"/>
      <c r="E276" s="24" t="n"/>
      <c r="F276" s="24" t="n"/>
      <c r="G276" s="25">
        <f>IF(E276="","",E276-N(F276))</f>
        <v/>
      </c>
      <c r="H276" s="9" t="n"/>
      <c r="I276" s="45" t="n"/>
    </row>
    <row r="277">
      <c r="A277" s="35" t="n"/>
      <c r="B277" s="9" t="n"/>
      <c r="C277" s="9" t="n"/>
      <c r="D277" s="45" t="n"/>
      <c r="E277" s="24" t="n"/>
      <c r="F277" s="24" t="n"/>
      <c r="G277" s="25">
        <f>IF(E277="","",E277-N(F277))</f>
        <v/>
      </c>
      <c r="H277" s="9" t="n"/>
      <c r="I277" s="45" t="n"/>
    </row>
    <row r="278">
      <c r="A278" s="35" t="n"/>
      <c r="B278" s="9" t="n"/>
      <c r="C278" s="9" t="n"/>
      <c r="D278" s="45" t="n"/>
      <c r="E278" s="24" t="n"/>
      <c r="F278" s="24" t="n"/>
      <c r="G278" s="25">
        <f>IF(E278="","",E278-N(F278))</f>
        <v/>
      </c>
      <c r="H278" s="9" t="n"/>
      <c r="I278" s="45" t="n"/>
    </row>
    <row r="279">
      <c r="A279" s="35" t="n"/>
      <c r="B279" s="9" t="n"/>
      <c r="C279" s="9" t="n"/>
      <c r="D279" s="45" t="n"/>
      <c r="E279" s="24" t="n"/>
      <c r="F279" s="24" t="n"/>
      <c r="G279" s="25">
        <f>IF(E279="","",E279-N(F279))</f>
        <v/>
      </c>
      <c r="H279" s="9" t="n"/>
      <c r="I279" s="45" t="n"/>
    </row>
    <row r="280">
      <c r="A280" s="35" t="n"/>
      <c r="B280" s="9" t="n"/>
      <c r="C280" s="9" t="n"/>
      <c r="D280" s="45" t="n"/>
      <c r="E280" s="24" t="n"/>
      <c r="F280" s="24" t="n"/>
      <c r="G280" s="25">
        <f>IF(E280="","",E280-N(F280))</f>
        <v/>
      </c>
      <c r="H280" s="9" t="n"/>
      <c r="I280" s="45" t="n"/>
    </row>
    <row r="281">
      <c r="A281" s="35" t="n"/>
      <c r="B281" s="9" t="n"/>
      <c r="C281" s="9" t="n"/>
      <c r="D281" s="45" t="n"/>
      <c r="E281" s="24" t="n"/>
      <c r="F281" s="24" t="n"/>
      <c r="G281" s="25">
        <f>IF(E281="","",E281-N(F281))</f>
        <v/>
      </c>
      <c r="H281" s="9" t="n"/>
      <c r="I281" s="45" t="n"/>
    </row>
    <row r="282">
      <c r="A282" s="35" t="n"/>
      <c r="B282" s="9" t="n"/>
      <c r="C282" s="9" t="n"/>
      <c r="D282" s="45" t="n"/>
      <c r="E282" s="24" t="n"/>
      <c r="F282" s="24" t="n"/>
      <c r="G282" s="25">
        <f>IF(E282="","",E282-N(F282))</f>
        <v/>
      </c>
      <c r="H282" s="9" t="n"/>
      <c r="I282" s="45" t="n"/>
    </row>
    <row r="283">
      <c r="A283" s="35" t="n"/>
      <c r="B283" s="9" t="n"/>
      <c r="C283" s="9" t="n"/>
      <c r="D283" s="45" t="n"/>
      <c r="E283" s="24" t="n"/>
      <c r="F283" s="24" t="n"/>
      <c r="G283" s="25">
        <f>IF(E283="","",E283-N(F283))</f>
        <v/>
      </c>
      <c r="H283" s="9" t="n"/>
      <c r="I283" s="45" t="n"/>
    </row>
    <row r="284">
      <c r="A284" s="35" t="n"/>
      <c r="B284" s="9" t="n"/>
      <c r="C284" s="9" t="n"/>
      <c r="D284" s="45" t="n"/>
      <c r="E284" s="24" t="n"/>
      <c r="F284" s="24" t="n"/>
      <c r="G284" s="25">
        <f>IF(E284="","",E284-N(F284))</f>
        <v/>
      </c>
      <c r="H284" s="9" t="n"/>
      <c r="I284" s="45" t="n"/>
    </row>
    <row r="285">
      <c r="A285" s="35" t="n"/>
      <c r="B285" s="9" t="n"/>
      <c r="C285" s="9" t="n"/>
      <c r="D285" s="45" t="n"/>
      <c r="E285" s="24" t="n"/>
      <c r="F285" s="24" t="n"/>
      <c r="G285" s="25">
        <f>IF(E285="","",E285-N(F285))</f>
        <v/>
      </c>
      <c r="H285" s="9" t="n"/>
      <c r="I285" s="45" t="n"/>
    </row>
    <row r="286">
      <c r="A286" s="35" t="n"/>
      <c r="B286" s="9" t="n"/>
      <c r="C286" s="9" t="n"/>
      <c r="D286" s="45" t="n"/>
      <c r="E286" s="24" t="n"/>
      <c r="F286" s="24" t="n"/>
      <c r="G286" s="25">
        <f>IF(E286="","",E286-N(F286))</f>
        <v/>
      </c>
      <c r="H286" s="9" t="n"/>
      <c r="I286" s="45" t="n"/>
    </row>
    <row r="287">
      <c r="A287" s="35" t="n"/>
      <c r="B287" s="9" t="n"/>
      <c r="C287" s="9" t="n"/>
      <c r="D287" s="45" t="n"/>
      <c r="E287" s="24" t="n"/>
      <c r="F287" s="24" t="n"/>
      <c r="G287" s="25">
        <f>IF(E287="","",E287-N(F287))</f>
        <v/>
      </c>
      <c r="H287" s="9" t="n"/>
      <c r="I287" s="45" t="n"/>
    </row>
    <row r="288">
      <c r="A288" s="35" t="n"/>
      <c r="B288" s="9" t="n"/>
      <c r="C288" s="9" t="n"/>
      <c r="D288" s="45" t="n"/>
      <c r="E288" s="24" t="n"/>
      <c r="F288" s="24" t="n"/>
      <c r="G288" s="25">
        <f>IF(E288="","",E288-N(F288))</f>
        <v/>
      </c>
      <c r="H288" s="9" t="n"/>
      <c r="I288" s="45" t="n"/>
    </row>
    <row r="289">
      <c r="A289" s="35" t="n"/>
      <c r="B289" s="9" t="n"/>
      <c r="C289" s="9" t="n"/>
      <c r="D289" s="45" t="n"/>
      <c r="E289" s="24" t="n"/>
      <c r="F289" s="24" t="n"/>
      <c r="G289" s="25">
        <f>IF(E289="","",E289-N(F289))</f>
        <v/>
      </c>
      <c r="H289" s="9" t="n"/>
      <c r="I289" s="45" t="n"/>
    </row>
    <row r="290">
      <c r="A290" s="35" t="n"/>
      <c r="B290" s="9" t="n"/>
      <c r="C290" s="9" t="n"/>
      <c r="D290" s="45" t="n"/>
      <c r="E290" s="24" t="n"/>
      <c r="F290" s="24" t="n"/>
      <c r="G290" s="25">
        <f>IF(E290="","",E290-N(F290))</f>
        <v/>
      </c>
      <c r="H290" s="9" t="n"/>
      <c r="I290" s="45" t="n"/>
    </row>
    <row r="291">
      <c r="A291" s="35" t="n"/>
      <c r="B291" s="9" t="n"/>
      <c r="C291" s="9" t="n"/>
      <c r="D291" s="45" t="n"/>
      <c r="E291" s="24" t="n"/>
      <c r="F291" s="24" t="n"/>
      <c r="G291" s="25">
        <f>IF(E291="","",E291-N(F291))</f>
        <v/>
      </c>
      <c r="H291" s="9" t="n"/>
      <c r="I291" s="45" t="n"/>
    </row>
    <row r="292">
      <c r="A292" s="35" t="n"/>
      <c r="B292" s="9" t="n"/>
      <c r="C292" s="9" t="n"/>
      <c r="D292" s="45" t="n"/>
      <c r="E292" s="24" t="n"/>
      <c r="F292" s="24" t="n"/>
      <c r="G292" s="25">
        <f>IF(E292="","",E292-N(F292))</f>
        <v/>
      </c>
      <c r="H292" s="9" t="n"/>
      <c r="I292" s="45" t="n"/>
    </row>
    <row r="293">
      <c r="A293" s="35" t="n"/>
      <c r="B293" s="9" t="n"/>
      <c r="C293" s="9" t="n"/>
      <c r="D293" s="45" t="n"/>
      <c r="E293" s="24" t="n"/>
      <c r="F293" s="24" t="n"/>
      <c r="G293" s="25">
        <f>IF(E293="","",E293-N(F293))</f>
        <v/>
      </c>
      <c r="H293" s="9" t="n"/>
      <c r="I293" s="45" t="n"/>
    </row>
    <row r="294">
      <c r="A294" s="35" t="n"/>
      <c r="B294" s="9" t="n"/>
      <c r="C294" s="9" t="n"/>
      <c r="D294" s="45" t="n"/>
      <c r="E294" s="24" t="n"/>
      <c r="F294" s="24" t="n"/>
      <c r="G294" s="25">
        <f>IF(E294="","",E294-N(F294))</f>
        <v/>
      </c>
      <c r="H294" s="9" t="n"/>
      <c r="I294" s="45" t="n"/>
    </row>
    <row r="295">
      <c r="A295" s="35" t="n"/>
      <c r="B295" s="9" t="n"/>
      <c r="C295" s="9" t="n"/>
      <c r="D295" s="45" t="n"/>
      <c r="E295" s="24" t="n"/>
      <c r="F295" s="24" t="n"/>
      <c r="G295" s="25">
        <f>IF(E295="","",E295-N(F295))</f>
        <v/>
      </c>
      <c r="H295" s="9" t="n"/>
      <c r="I295" s="45" t="n"/>
    </row>
    <row r="296">
      <c r="A296" s="35" t="n"/>
      <c r="B296" s="9" t="n"/>
      <c r="C296" s="9" t="n"/>
      <c r="D296" s="45" t="n"/>
      <c r="E296" s="24" t="n"/>
      <c r="F296" s="24" t="n"/>
      <c r="G296" s="25">
        <f>IF(E296="","",E296-N(F296))</f>
        <v/>
      </c>
      <c r="H296" s="9" t="n"/>
      <c r="I296" s="45" t="n"/>
    </row>
    <row r="297">
      <c r="A297" s="35" t="n"/>
      <c r="B297" s="9" t="n"/>
      <c r="C297" s="9" t="n"/>
      <c r="D297" s="45" t="n"/>
      <c r="E297" s="24" t="n"/>
      <c r="F297" s="24" t="n"/>
      <c r="G297" s="25">
        <f>IF(E297="","",E297-N(F297))</f>
        <v/>
      </c>
      <c r="H297" s="9" t="n"/>
      <c r="I297" s="45" t="n"/>
    </row>
    <row r="298">
      <c r="A298" s="35" t="n"/>
      <c r="B298" s="9" t="n"/>
      <c r="C298" s="9" t="n"/>
      <c r="D298" s="45" t="n"/>
      <c r="E298" s="24" t="n"/>
      <c r="F298" s="24" t="n"/>
      <c r="G298" s="25">
        <f>IF(E298="","",E298-N(F298))</f>
        <v/>
      </c>
      <c r="H298" s="9" t="n"/>
      <c r="I298" s="45" t="n"/>
    </row>
    <row r="299">
      <c r="A299" s="35" t="n"/>
      <c r="B299" s="9" t="n"/>
      <c r="C299" s="9" t="n"/>
      <c r="D299" s="45" t="n"/>
      <c r="E299" s="24" t="n"/>
      <c r="F299" s="24" t="n"/>
      <c r="G299" s="25">
        <f>IF(E299="","",E299-N(F299))</f>
        <v/>
      </c>
      <c r="H299" s="9" t="n"/>
      <c r="I299" s="45" t="n"/>
    </row>
    <row r="300">
      <c r="A300" s="35" t="n"/>
      <c r="B300" s="9" t="n"/>
      <c r="C300" s="9" t="n"/>
      <c r="D300" s="45" t="n"/>
      <c r="E300" s="24" t="n"/>
      <c r="F300" s="24" t="n"/>
      <c r="G300" s="25">
        <f>IF(E300="","",E300-N(F300))</f>
        <v/>
      </c>
      <c r="H300" s="9" t="n"/>
      <c r="I300" s="45" t="n"/>
    </row>
    <row r="301">
      <c r="A301" s="35" t="n"/>
      <c r="B301" s="9" t="n"/>
      <c r="C301" s="9" t="n"/>
      <c r="D301" s="45" t="n"/>
      <c r="E301" s="24" t="n"/>
      <c r="F301" s="24" t="n"/>
      <c r="G301" s="25">
        <f>IF(E301="","",E301-N(F301))</f>
        <v/>
      </c>
      <c r="H301" s="9" t="n"/>
      <c r="I301" s="45" t="n"/>
    </row>
    <row r="302">
      <c r="A302" s="35" t="n"/>
      <c r="B302" s="9" t="n"/>
      <c r="C302" s="9" t="n"/>
      <c r="D302" s="45" t="n"/>
      <c r="E302" s="24" t="n"/>
      <c r="F302" s="24" t="n"/>
      <c r="G302" s="25">
        <f>IF(E302="","",E302-N(F302))</f>
        <v/>
      </c>
      <c r="H302" s="9" t="n"/>
      <c r="I302" s="45" t="n"/>
    </row>
    <row r="303">
      <c r="A303" s="35" t="n"/>
      <c r="B303" s="9" t="n"/>
      <c r="C303" s="9" t="n"/>
      <c r="D303" s="45" t="n"/>
      <c r="E303" s="24" t="n"/>
      <c r="F303" s="24" t="n"/>
      <c r="G303" s="25">
        <f>IF(E303="","",E303-N(F303))</f>
        <v/>
      </c>
      <c r="H303" s="9" t="n"/>
      <c r="I303" s="45" t="n"/>
    </row>
    <row r="304">
      <c r="A304" s="35" t="n"/>
      <c r="B304" s="9" t="n"/>
      <c r="C304" s="9" t="n"/>
      <c r="D304" s="45" t="n"/>
      <c r="E304" s="24" t="n"/>
      <c r="F304" s="24" t="n"/>
      <c r="G304" s="25">
        <f>IF(E304="","",E304-N(F304))</f>
        <v/>
      </c>
      <c r="H304" s="9" t="n"/>
      <c r="I304" s="45" t="n"/>
    </row>
    <row r="305">
      <c r="A305" s="35" t="n"/>
      <c r="B305" s="9" t="n"/>
      <c r="C305" s="9" t="n"/>
      <c r="D305" s="45" t="n"/>
      <c r="E305" s="24" t="n"/>
      <c r="F305" s="24" t="n"/>
      <c r="G305" s="25">
        <f>IF(E305="","",E305-N(F305))</f>
        <v/>
      </c>
      <c r="H305" s="9" t="n"/>
      <c r="I305" s="45" t="n"/>
    </row>
    <row r="306">
      <c r="A306" s="35" t="n"/>
      <c r="B306" s="9" t="n"/>
      <c r="C306" s="9" t="n"/>
      <c r="D306" s="45" t="n"/>
      <c r="E306" s="24" t="n"/>
      <c r="F306" s="24" t="n"/>
      <c r="G306" s="25">
        <f>IF(E306="","",E306-N(F306))</f>
        <v/>
      </c>
      <c r="H306" s="9" t="n"/>
      <c r="I306" s="45" t="n"/>
    </row>
    <row r="307">
      <c r="A307" s="35" t="n"/>
      <c r="B307" s="9" t="n"/>
      <c r="C307" s="9" t="n"/>
      <c r="D307" s="45" t="n"/>
      <c r="E307" s="24" t="n"/>
      <c r="F307" s="24" t="n"/>
      <c r="G307" s="25">
        <f>IF(E307="","",E307-N(F307))</f>
        <v/>
      </c>
      <c r="H307" s="9" t="n"/>
      <c r="I307" s="45" t="n"/>
    </row>
    <row r="308">
      <c r="A308" s="35" t="n"/>
      <c r="B308" s="9" t="n"/>
      <c r="C308" s="9" t="n"/>
      <c r="D308" s="45" t="n"/>
      <c r="E308" s="24" t="n"/>
      <c r="F308" s="24" t="n"/>
      <c r="G308" s="25">
        <f>IF(E308="","",E308-N(F308))</f>
        <v/>
      </c>
      <c r="H308" s="9" t="n"/>
      <c r="I308" s="45" t="n"/>
    </row>
    <row r="309">
      <c r="A309" s="29" t="n"/>
      <c r="B309" s="29" t="inlineStr">
        <is>
          <t>TOTAL RAISED</t>
        </is>
      </c>
      <c r="C309" s="29" t="n"/>
      <c r="D309" s="29" t="n"/>
      <c r="E309" s="31">
        <f>SUM(E14:E308)</f>
        <v/>
      </c>
      <c r="F309" s="31">
        <f>SUM(F14:F308)</f>
        <v/>
      </c>
      <c r="G309" s="31">
        <f>SUM(G14:G308)</f>
        <v/>
      </c>
      <c r="H309" s="29" t="n"/>
      <c r="I309" s="29" t="n"/>
    </row>
  </sheetData>
  <mergeCells count="2">
    <mergeCell ref="A1:I1"/>
    <mergeCell ref="A2:I2"/>
  </mergeCells>
  <conditionalFormatting sqref="A14:F308 H14:I308">
    <cfRule type="expression" priority="1" dxfId="10">
      <formula>MOD(ROW(),2)=0</formula>
    </cfRule>
  </conditionalFormatting>
  <conditionalFormatting sqref="H14:H308">
    <cfRule type="cellIs" priority="3" operator="equal" dxfId="3">
      <formula>"Yes"</formula>
    </cfRule>
    <cfRule type="cellIs" priority="4" operator="equal" dxfId="2">
      <formula>"No"</formula>
    </cfRule>
    <cfRule type="cellIs" priority="5" operator="equal" dxfId="9">
      <formula>"Pending"</formula>
    </cfRule>
  </conditionalFormatting>
  <dataValidations count="2">
    <dataValidation sqref="B14:B308" showDropDown="0" showInputMessage="0" showErrorMessage="1" allowBlank="1" type="list">
      <formula1>"Kickstarter Pledge,Donation,Personal Money In,Friends &amp; Family,Grant,Loan,Other"</formula1>
    </dataValidation>
    <dataValidation sqref="H14:H308" showDropDown="0" showInputMessage="0" showErrorMessage="1" allowBlank="1" type="list">
      <formula1>"Yes,No,Pending"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C"/>
    <outlinePr summaryBelow="1" summaryRight="1"/>
    <pageSetUpPr/>
  </sheetPr>
  <dimension ref="A1:L314"/>
  <sheetViews>
    <sheetView workbookViewId="0">
      <pane ySplit="13" topLeftCell="A14" activePane="bottomLeft" state="frozen"/>
      <selection pane="bottomLeft" activeCell="L14" sqref="L14"/>
    </sheetView>
  </sheetViews>
  <sheetFormatPr baseColWidth="8" defaultRowHeight="14.4"/>
  <cols>
    <col width="12" customWidth="1" style="69" min="1" max="1"/>
    <col width="10" customWidth="1" style="69" min="2" max="2"/>
    <col width="15" customWidth="1" style="69" min="3" max="3"/>
    <col width="32" customWidth="1" style="69" min="4" max="4"/>
    <col width="7" customWidth="1" style="69" min="5" max="5"/>
    <col width="12" customWidth="1" style="69" min="6" max="6"/>
    <col width="13" customWidth="1" style="69" min="7" max="7"/>
    <col width="12" customWidth="1" style="69" min="8" max="8"/>
    <col width="11" customWidth="1" style="69" min="9" max="9"/>
    <col width="13" customWidth="1" style="69" min="10" max="10"/>
    <col width="12" customWidth="1" style="69" min="11" max="11"/>
    <col width="14" customWidth="1" style="69" min="12" max="12"/>
  </cols>
  <sheetData>
    <row r="1" ht="26.1" customHeight="1" s="69">
      <c r="A1" s="68" t="inlineStr">
        <is>
          <t>Sales Log — Revenue from Every Sale</t>
        </is>
      </c>
    </row>
    <row r="2" ht="15.9" customHeight="1" s="69">
      <c r="A2" s="70" t="inlineStr">
        <is>
          <t>One row per product per order. This is the money BOYNT earns — the Dashboard and COGS tabs read from here.</t>
        </is>
      </c>
    </row>
    <row r="4" ht="14.1" customHeight="1" s="69">
      <c r="A4" s="12" t="inlineStr">
        <is>
          <t>WHAT THIS TAB IS FOR:  recording the money side of every sale. (The shipping/fulfillment side lives on the Orders tab.)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 ht="14.1" customHeight="1" s="69">
      <c r="A5" s="13" t="inlineStr">
        <is>
          <t>WHAT GOES HERE:  Date, an Order # you make up (0001, 0002...), the Channel it sold through, the Product (dropdown),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 ht="14.1" customHeight="1" s="69">
      <c r="A6" s="13" t="inlineStr">
        <is>
          <t>and Qty. Unit Price fills in from your price list automatically — type over it if you gave a special price.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14.1" customHeight="1" s="69">
      <c r="A7" s="13" t="inlineStr">
        <is>
          <t>Then add Shipping Collected, any Discount, and Processing Fees (Stripe/PayPal/Kickstarter take ~3-5%).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 ht="14.1" customHeight="1" s="69">
      <c r="A8" s="13" t="inlineStr">
        <is>
          <t>MULTI-ITEM ORDERS:  one row PER PRODUCT, repeating the same Order #.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14.1" customHeight="1" s="69">
      <c r="A9" s="13" t="inlineStr">
        <is>
          <t>KICKSTARTER REWARDS:  pick the reward tier from the Product dropdown — its pledge price auto-fills. Log each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14.1" customHeight="1" s="69">
      <c r="A10" s="13" t="inlineStr">
        <is>
          <t>pledge ONCE: either here as a sale, OR on the Funding tab — never both, or you'd count the same money twice.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14.1" customHeight="1" s="69">
      <c r="A11" s="13" t="inlineStr">
        <is>
          <t>AUTOMATIC (blue):  Product Total, Order Total, and NET REVENUE calculate themselves. Every sale should also get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14.1" customHeight="1" s="69">
      <c r="A12" s="13" t="inlineStr">
        <is>
          <t>a matching row on the Orders tab (same Order #) so you can track fulfillment.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7.9" customHeight="1" s="69">
      <c r="A13" s="23" t="inlineStr">
        <is>
          <t>Date</t>
        </is>
      </c>
      <c r="B13" s="23" t="inlineStr">
        <is>
          <t>Order #</t>
        </is>
      </c>
      <c r="C13" s="23" t="inlineStr">
        <is>
          <t>Channel</t>
        </is>
      </c>
      <c r="D13" s="23" t="inlineStr">
        <is>
          <t>Product</t>
        </is>
      </c>
      <c r="E13" s="23" t="inlineStr">
        <is>
          <t>Qty</t>
        </is>
      </c>
      <c r="F13" s="23" t="inlineStr">
        <is>
          <t>Unit Price (auto)</t>
        </is>
      </c>
      <c r="G13" s="23" t="inlineStr">
        <is>
          <t>Product Total (auto)</t>
        </is>
      </c>
      <c r="H13" s="23" t="inlineStr">
        <is>
          <t>Shipping Collected</t>
        </is>
      </c>
      <c r="I13" s="23" t="inlineStr">
        <is>
          <t>Discount</t>
        </is>
      </c>
      <c r="J13" s="23" t="inlineStr">
        <is>
          <t>Order Total (auto)</t>
        </is>
      </c>
      <c r="K13" s="23" t="inlineStr">
        <is>
          <t>Processing Fees</t>
        </is>
      </c>
      <c r="L13" s="23" t="inlineStr">
        <is>
          <t>NET REVENUE (auto)</t>
        </is>
      </c>
    </row>
    <row r="14">
      <c r="A14" s="35" t="n">
        <v>46251</v>
      </c>
      <c r="B14" s="9" t="inlineStr">
        <is>
          <t>WEB-001</t>
        </is>
      </c>
      <c r="C14" s="9" t="inlineStr">
        <is>
          <t>Website</t>
        </is>
      </c>
      <c r="D14" s="9" t="inlineStr">
        <is>
          <t>TEST ORDER - confirm what sold</t>
        </is>
      </c>
      <c r="E14" s="40" t="n">
        <v>1</v>
      </c>
      <c r="F14" s="25" t="n">
        <v>88.88</v>
      </c>
      <c r="G14" s="25">
        <f>IF($D14="","",N(E14)*N(F14))</f>
        <v/>
      </c>
      <c r="H14" s="24" t="n"/>
      <c r="I14" s="24" t="n"/>
      <c r="J14" s="25">
        <f>IF($D14="","",N(G14)+N(H14)-N(I14))</f>
        <v/>
      </c>
      <c r="K14" s="24" t="n">
        <v>3.59</v>
      </c>
      <c r="L14" s="25">
        <f>IF($D14="","",N(J14)-N(K14))</f>
        <v/>
      </c>
    </row>
    <row r="15">
      <c r="A15" s="35" t="n"/>
      <c r="B15" s="9" t="n"/>
      <c r="C15" s="9" t="n"/>
      <c r="D15" s="9" t="n"/>
      <c r="E15" s="40" t="n"/>
      <c r="F15" s="25">
        <f>IF($D15="","",IFERROR(VLOOKUP($D15,'Products &amp; Pricing'!$A$14:$D$41,4,FALSE),""))</f>
        <v/>
      </c>
      <c r="G15" s="25">
        <f>IF($D15="","",N(E15)*N(F15))</f>
        <v/>
      </c>
      <c r="H15" s="24" t="n"/>
      <c r="I15" s="24" t="n"/>
      <c r="J15" s="25">
        <f>IF($D15="","",N(G15)+N(H15)-N(I15))</f>
        <v/>
      </c>
      <c r="K15" s="24" t="n"/>
      <c r="L15" s="25">
        <f>IF($D15="","",N(J15)-N(K15))</f>
        <v/>
      </c>
    </row>
    <row r="16">
      <c r="A16" s="35" t="n"/>
      <c r="B16" s="9" t="n"/>
      <c r="C16" s="9" t="n"/>
      <c r="D16" s="9" t="n"/>
      <c r="E16" s="40" t="n"/>
      <c r="F16" s="25">
        <f>IF($D16="","",IFERROR(VLOOKUP($D16,'Products &amp; Pricing'!$A$14:$D$41,4,FALSE),""))</f>
        <v/>
      </c>
      <c r="G16" s="25">
        <f>IF($D16="","",N(E16)*N(F16))</f>
        <v/>
      </c>
      <c r="H16" s="24" t="n"/>
      <c r="I16" s="24" t="n"/>
      <c r="J16" s="25">
        <f>IF($D16="","",N(G16)+N(H16)-N(I16))</f>
        <v/>
      </c>
      <c r="K16" s="24" t="n"/>
      <c r="L16" s="25">
        <f>IF($D16="","",N(J16)-N(K16))</f>
        <v/>
      </c>
    </row>
    <row r="17">
      <c r="A17" s="35" t="n"/>
      <c r="B17" s="9" t="n"/>
      <c r="C17" s="9" t="n"/>
      <c r="D17" s="9" t="n"/>
      <c r="E17" s="40" t="n"/>
      <c r="F17" s="25">
        <f>IF($D17="","",IFERROR(VLOOKUP($D17,'Products &amp; Pricing'!$A$14:$D$41,4,FALSE),""))</f>
        <v/>
      </c>
      <c r="G17" s="25">
        <f>IF($D17="","",N(E17)*N(F17))</f>
        <v/>
      </c>
      <c r="H17" s="24" t="n"/>
      <c r="I17" s="24" t="n"/>
      <c r="J17" s="25">
        <f>IF($D17="","",N(G17)+N(H17)-N(I17))</f>
        <v/>
      </c>
      <c r="K17" s="24" t="n"/>
      <c r="L17" s="25">
        <f>IF($D17="","",N(J17)-N(K17))</f>
        <v/>
      </c>
    </row>
    <row r="18">
      <c r="A18" s="35" t="n"/>
      <c r="B18" s="9" t="n"/>
      <c r="C18" s="9" t="n"/>
      <c r="D18" s="9" t="n"/>
      <c r="E18" s="40" t="n"/>
      <c r="F18" s="25">
        <f>IF($D18="","",IFERROR(VLOOKUP($D18,'Products &amp; Pricing'!$A$14:$D$41,4,FALSE),""))</f>
        <v/>
      </c>
      <c r="G18" s="25">
        <f>IF($D18="","",N(E18)*N(F18))</f>
        <v/>
      </c>
      <c r="H18" s="24" t="n"/>
      <c r="I18" s="24" t="n"/>
      <c r="J18" s="25">
        <f>IF($D18="","",N(G18)+N(H18)-N(I18))</f>
        <v/>
      </c>
      <c r="K18" s="24" t="n"/>
      <c r="L18" s="25">
        <f>IF($D18="","",N(J18)-N(K18))</f>
        <v/>
      </c>
    </row>
    <row r="19">
      <c r="A19" s="35" t="n"/>
      <c r="B19" s="9" t="n"/>
      <c r="C19" s="9" t="n"/>
      <c r="D19" s="9" t="n"/>
      <c r="E19" s="40" t="n"/>
      <c r="F19" s="25">
        <f>IF($D19="","",IFERROR(VLOOKUP($D19,'Products &amp; Pricing'!$A$14:$D$41,4,FALSE),""))</f>
        <v/>
      </c>
      <c r="G19" s="25">
        <f>IF($D19="","",N(E19)*N(F19))</f>
        <v/>
      </c>
      <c r="H19" s="24" t="n"/>
      <c r="I19" s="24" t="n"/>
      <c r="J19" s="25">
        <f>IF($D19="","",N(G19)+N(H19)-N(I19))</f>
        <v/>
      </c>
      <c r="K19" s="24" t="n"/>
      <c r="L19" s="25">
        <f>IF($D19="","",N(J19)-N(K19))</f>
        <v/>
      </c>
    </row>
    <row r="20">
      <c r="A20" s="35" t="n"/>
      <c r="B20" s="9" t="n"/>
      <c r="C20" s="9" t="n"/>
      <c r="D20" s="9" t="n"/>
      <c r="E20" s="40" t="n"/>
      <c r="F20" s="25">
        <f>IF($D20="","",IFERROR(VLOOKUP($D20,'Products &amp; Pricing'!$A$14:$D$41,4,FALSE),""))</f>
        <v/>
      </c>
      <c r="G20" s="25">
        <f>IF($D20="","",N(E20)*N(F20))</f>
        <v/>
      </c>
      <c r="H20" s="24" t="n"/>
      <c r="I20" s="24" t="n"/>
      <c r="J20" s="25">
        <f>IF($D20="","",N(G20)+N(H20)-N(I20))</f>
        <v/>
      </c>
      <c r="K20" s="24" t="n"/>
      <c r="L20" s="25">
        <f>IF($D20="","",N(J20)-N(K20))</f>
        <v/>
      </c>
    </row>
    <row r="21">
      <c r="A21" s="35" t="n"/>
      <c r="B21" s="9" t="n"/>
      <c r="C21" s="9" t="n"/>
      <c r="D21" s="9" t="n"/>
      <c r="E21" s="40" t="n"/>
      <c r="F21" s="25">
        <f>IF($D21="","",IFERROR(VLOOKUP($D21,'Products &amp; Pricing'!$A$14:$D$41,4,FALSE),""))</f>
        <v/>
      </c>
      <c r="G21" s="25">
        <f>IF($D21="","",N(E21)*N(F21))</f>
        <v/>
      </c>
      <c r="H21" s="24" t="n"/>
      <c r="I21" s="24" t="n"/>
      <c r="J21" s="25">
        <f>IF($D21="","",N(G21)+N(H21)-N(I21))</f>
        <v/>
      </c>
      <c r="K21" s="24" t="n"/>
      <c r="L21" s="25">
        <f>IF($D21="","",N(J21)-N(K21))</f>
        <v/>
      </c>
    </row>
    <row r="22">
      <c r="A22" s="35" t="n"/>
      <c r="B22" s="9" t="n"/>
      <c r="C22" s="9" t="n"/>
      <c r="D22" s="9" t="n"/>
      <c r="E22" s="40" t="n"/>
      <c r="F22" s="25">
        <f>IF($D22="","",IFERROR(VLOOKUP($D22,'Products &amp; Pricing'!$A$14:$D$41,4,FALSE),""))</f>
        <v/>
      </c>
      <c r="G22" s="25">
        <f>IF($D22="","",N(E22)*N(F22))</f>
        <v/>
      </c>
      <c r="H22" s="24" t="n"/>
      <c r="I22" s="24" t="n"/>
      <c r="J22" s="25">
        <f>IF($D22="","",N(G22)+N(H22)-N(I22))</f>
        <v/>
      </c>
      <c r="K22" s="24" t="n"/>
      <c r="L22" s="25">
        <f>IF($D22="","",N(J22)-N(K22))</f>
        <v/>
      </c>
    </row>
    <row r="23">
      <c r="A23" s="35" t="n"/>
      <c r="B23" s="9" t="n"/>
      <c r="C23" s="9" t="n"/>
      <c r="D23" s="9" t="n"/>
      <c r="E23" s="40" t="n"/>
      <c r="F23" s="25">
        <f>IF($D23="","",IFERROR(VLOOKUP($D23,'Products &amp; Pricing'!$A$14:$D$41,4,FALSE),""))</f>
        <v/>
      </c>
      <c r="G23" s="25">
        <f>IF($D23="","",N(E23)*N(F23))</f>
        <v/>
      </c>
      <c r="H23" s="24" t="n"/>
      <c r="I23" s="24" t="n"/>
      <c r="J23" s="25">
        <f>IF($D23="","",N(G23)+N(H23)-N(I23))</f>
        <v/>
      </c>
      <c r="K23" s="24" t="n"/>
      <c r="L23" s="25">
        <f>IF($D23="","",N(J23)-N(K23))</f>
        <v/>
      </c>
    </row>
    <row r="24">
      <c r="A24" s="35" t="n"/>
      <c r="B24" s="9" t="n"/>
      <c r="C24" s="9" t="n"/>
      <c r="D24" s="9" t="n"/>
      <c r="E24" s="40" t="n"/>
      <c r="F24" s="25">
        <f>IF($D24="","",IFERROR(VLOOKUP($D24,'Products &amp; Pricing'!$A$14:$D$41,4,FALSE),""))</f>
        <v/>
      </c>
      <c r="G24" s="25">
        <f>IF($D24="","",N(E24)*N(F24))</f>
        <v/>
      </c>
      <c r="H24" s="24" t="n"/>
      <c r="I24" s="24" t="n"/>
      <c r="J24" s="25">
        <f>IF($D24="","",N(G24)+N(H24)-N(I24))</f>
        <v/>
      </c>
      <c r="K24" s="24" t="n"/>
      <c r="L24" s="25">
        <f>IF($D24="","",N(J24)-N(K24))</f>
        <v/>
      </c>
    </row>
    <row r="25">
      <c r="A25" s="35" t="n"/>
      <c r="B25" s="9" t="n"/>
      <c r="C25" s="9" t="n"/>
      <c r="D25" s="9" t="n"/>
      <c r="E25" s="40" t="n"/>
      <c r="F25" s="25">
        <f>IF($D25="","",IFERROR(VLOOKUP($D25,'Products &amp; Pricing'!$A$14:$D$41,4,FALSE),""))</f>
        <v/>
      </c>
      <c r="G25" s="25">
        <f>IF($D25="","",N(E25)*N(F25))</f>
        <v/>
      </c>
      <c r="H25" s="24" t="n"/>
      <c r="I25" s="24" t="n"/>
      <c r="J25" s="25">
        <f>IF($D25="","",N(G25)+N(H25)-N(I25))</f>
        <v/>
      </c>
      <c r="K25" s="24" t="n"/>
      <c r="L25" s="25">
        <f>IF($D25="","",N(J25)-N(K25))</f>
        <v/>
      </c>
    </row>
    <row r="26">
      <c r="A26" s="35" t="n"/>
      <c r="B26" s="9" t="n"/>
      <c r="C26" s="9" t="n"/>
      <c r="D26" s="9" t="n"/>
      <c r="E26" s="40" t="n"/>
      <c r="F26" s="25">
        <f>IF($D26="","",IFERROR(VLOOKUP($D26,'Products &amp; Pricing'!$A$14:$D$41,4,FALSE),""))</f>
        <v/>
      </c>
      <c r="G26" s="25">
        <f>IF($D26="","",N(E26)*N(F26))</f>
        <v/>
      </c>
      <c r="H26" s="24" t="n"/>
      <c r="I26" s="24" t="n"/>
      <c r="J26" s="25">
        <f>IF($D26="","",N(G26)+N(H26)-N(I26))</f>
        <v/>
      </c>
      <c r="K26" s="24" t="n"/>
      <c r="L26" s="25">
        <f>IF($D26="","",N(J26)-N(K26))</f>
        <v/>
      </c>
    </row>
    <row r="27">
      <c r="A27" s="35" t="n"/>
      <c r="B27" s="9" t="n"/>
      <c r="C27" s="9" t="n"/>
      <c r="D27" s="9" t="n"/>
      <c r="E27" s="40" t="n"/>
      <c r="F27" s="25">
        <f>IF($D27="","",IFERROR(VLOOKUP($D27,'Products &amp; Pricing'!$A$14:$D$41,4,FALSE),""))</f>
        <v/>
      </c>
      <c r="G27" s="25">
        <f>IF($D27="","",N(E27)*N(F27))</f>
        <v/>
      </c>
      <c r="H27" s="24" t="n"/>
      <c r="I27" s="24" t="n"/>
      <c r="J27" s="25">
        <f>IF($D27="","",N(G27)+N(H27)-N(I27))</f>
        <v/>
      </c>
      <c r="K27" s="24" t="n"/>
      <c r="L27" s="25">
        <f>IF($D27="","",N(J27)-N(K27))</f>
        <v/>
      </c>
    </row>
    <row r="28">
      <c r="A28" s="35" t="n"/>
      <c r="B28" s="9" t="n"/>
      <c r="C28" s="9" t="n"/>
      <c r="D28" s="9" t="n"/>
      <c r="E28" s="40" t="n"/>
      <c r="F28" s="25">
        <f>IF($D28="","",IFERROR(VLOOKUP($D28,'Products &amp; Pricing'!$A$14:$D$41,4,FALSE),""))</f>
        <v/>
      </c>
      <c r="G28" s="25">
        <f>IF($D28="","",N(E28)*N(F28))</f>
        <v/>
      </c>
      <c r="H28" s="24" t="n"/>
      <c r="I28" s="24" t="n"/>
      <c r="J28" s="25">
        <f>IF($D28="","",N(G28)+N(H28)-N(I28))</f>
        <v/>
      </c>
      <c r="K28" s="24" t="n"/>
      <c r="L28" s="25">
        <f>IF($D28="","",N(J28)-N(K28))</f>
        <v/>
      </c>
    </row>
    <row r="29">
      <c r="A29" s="35" t="n"/>
      <c r="B29" s="9" t="n"/>
      <c r="C29" s="9" t="n"/>
      <c r="D29" s="9" t="n"/>
      <c r="E29" s="40" t="n"/>
      <c r="F29" s="25">
        <f>IF($D29="","",IFERROR(VLOOKUP($D29,'Products &amp; Pricing'!$A$14:$D$41,4,FALSE),""))</f>
        <v/>
      </c>
      <c r="G29" s="25">
        <f>IF($D29="","",N(E29)*N(F29))</f>
        <v/>
      </c>
      <c r="H29" s="24" t="n"/>
      <c r="I29" s="24" t="n"/>
      <c r="J29" s="25">
        <f>IF($D29="","",N(G29)+N(H29)-N(I29))</f>
        <v/>
      </c>
      <c r="K29" s="24" t="n"/>
      <c r="L29" s="25">
        <f>IF($D29="","",N(J29)-N(K29))</f>
        <v/>
      </c>
    </row>
    <row r="30">
      <c r="A30" s="35" t="n"/>
      <c r="B30" s="9" t="n"/>
      <c r="C30" s="9" t="n"/>
      <c r="D30" s="9" t="n"/>
      <c r="E30" s="40" t="n"/>
      <c r="F30" s="25">
        <f>IF($D30="","",IFERROR(VLOOKUP($D30,'Products &amp; Pricing'!$A$14:$D$41,4,FALSE),""))</f>
        <v/>
      </c>
      <c r="G30" s="25">
        <f>IF($D30="","",N(E30)*N(F30))</f>
        <v/>
      </c>
      <c r="H30" s="24" t="n"/>
      <c r="I30" s="24" t="n"/>
      <c r="J30" s="25">
        <f>IF($D30="","",N(G30)+N(H30)-N(I30))</f>
        <v/>
      </c>
      <c r="K30" s="24" t="n"/>
      <c r="L30" s="25">
        <f>IF($D30="","",N(J30)-N(K30))</f>
        <v/>
      </c>
    </row>
    <row r="31">
      <c r="A31" s="35" t="n"/>
      <c r="B31" s="9" t="n"/>
      <c r="C31" s="9" t="n"/>
      <c r="D31" s="9" t="n"/>
      <c r="E31" s="40" t="n"/>
      <c r="F31" s="25">
        <f>IF($D31="","",IFERROR(VLOOKUP($D31,'Products &amp; Pricing'!$A$14:$D$41,4,FALSE),""))</f>
        <v/>
      </c>
      <c r="G31" s="25">
        <f>IF($D31="","",N(E31)*N(F31))</f>
        <v/>
      </c>
      <c r="H31" s="24" t="n"/>
      <c r="I31" s="24" t="n"/>
      <c r="J31" s="25">
        <f>IF($D31="","",N(G31)+N(H31)-N(I31))</f>
        <v/>
      </c>
      <c r="K31" s="24" t="n"/>
      <c r="L31" s="25">
        <f>IF($D31="","",N(J31)-N(K31))</f>
        <v/>
      </c>
    </row>
    <row r="32">
      <c r="A32" s="35" t="n"/>
      <c r="B32" s="9" t="n"/>
      <c r="C32" s="9" t="n"/>
      <c r="D32" s="9" t="n"/>
      <c r="E32" s="40" t="n"/>
      <c r="F32" s="25">
        <f>IF($D32="","",IFERROR(VLOOKUP($D32,'Products &amp; Pricing'!$A$14:$D$41,4,FALSE),""))</f>
        <v/>
      </c>
      <c r="G32" s="25">
        <f>IF($D32="","",N(E32)*N(F32))</f>
        <v/>
      </c>
      <c r="H32" s="24" t="n"/>
      <c r="I32" s="24" t="n"/>
      <c r="J32" s="25">
        <f>IF($D32="","",N(G32)+N(H32)-N(I32))</f>
        <v/>
      </c>
      <c r="K32" s="24" t="n"/>
      <c r="L32" s="25">
        <f>IF($D32="","",N(J32)-N(K32))</f>
        <v/>
      </c>
    </row>
    <row r="33">
      <c r="A33" s="35" t="n"/>
      <c r="B33" s="9" t="n"/>
      <c r="C33" s="9" t="n"/>
      <c r="D33" s="9" t="n"/>
      <c r="E33" s="40" t="n"/>
      <c r="F33" s="25">
        <f>IF($D33="","",IFERROR(VLOOKUP($D33,'Products &amp; Pricing'!$A$14:$D$41,4,FALSE),""))</f>
        <v/>
      </c>
      <c r="G33" s="25">
        <f>IF($D33="","",N(E33)*N(F33))</f>
        <v/>
      </c>
      <c r="H33" s="24" t="n"/>
      <c r="I33" s="24" t="n"/>
      <c r="J33" s="25">
        <f>IF($D33="","",N(G33)+N(H33)-N(I33))</f>
        <v/>
      </c>
      <c r="K33" s="24" t="n"/>
      <c r="L33" s="25">
        <f>IF($D33="","",N(J33)-N(K33))</f>
        <v/>
      </c>
    </row>
    <row r="34">
      <c r="A34" s="35" t="n"/>
      <c r="B34" s="9" t="n"/>
      <c r="C34" s="9" t="n"/>
      <c r="D34" s="9" t="n"/>
      <c r="E34" s="40" t="n"/>
      <c r="F34" s="25">
        <f>IF($D34="","",IFERROR(VLOOKUP($D34,'Products &amp; Pricing'!$A$14:$D$41,4,FALSE),""))</f>
        <v/>
      </c>
      <c r="G34" s="25">
        <f>IF($D34="","",N(E34)*N(F34))</f>
        <v/>
      </c>
      <c r="H34" s="24" t="n"/>
      <c r="I34" s="24" t="n"/>
      <c r="J34" s="25">
        <f>IF($D34="","",N(G34)+N(H34)-N(I34))</f>
        <v/>
      </c>
      <c r="K34" s="24" t="n"/>
      <c r="L34" s="25">
        <f>IF($D34="","",N(J34)-N(K34))</f>
        <v/>
      </c>
    </row>
    <row r="35">
      <c r="A35" s="35" t="n"/>
      <c r="B35" s="9" t="n"/>
      <c r="C35" s="9" t="n"/>
      <c r="D35" s="9" t="n"/>
      <c r="E35" s="40" t="n"/>
      <c r="F35" s="25">
        <f>IF($D35="","",IFERROR(VLOOKUP($D35,'Products &amp; Pricing'!$A$14:$D$41,4,FALSE),""))</f>
        <v/>
      </c>
      <c r="G35" s="25">
        <f>IF($D35="","",N(E35)*N(F35))</f>
        <v/>
      </c>
      <c r="H35" s="24" t="n"/>
      <c r="I35" s="24" t="n"/>
      <c r="J35" s="25">
        <f>IF($D35="","",N(G35)+N(H35)-N(I35))</f>
        <v/>
      </c>
      <c r="K35" s="24" t="n"/>
      <c r="L35" s="25">
        <f>IF($D35="","",N(J35)-N(K35))</f>
        <v/>
      </c>
    </row>
    <row r="36">
      <c r="A36" s="35" t="n"/>
      <c r="B36" s="9" t="n"/>
      <c r="C36" s="9" t="n"/>
      <c r="D36" s="9" t="n"/>
      <c r="E36" s="40" t="n"/>
      <c r="F36" s="25">
        <f>IF($D36="","",IFERROR(VLOOKUP($D36,'Products &amp; Pricing'!$A$14:$D$41,4,FALSE),""))</f>
        <v/>
      </c>
      <c r="G36" s="25">
        <f>IF($D36="","",N(E36)*N(F36))</f>
        <v/>
      </c>
      <c r="H36" s="24" t="n"/>
      <c r="I36" s="24" t="n"/>
      <c r="J36" s="25">
        <f>IF($D36="","",N(G36)+N(H36)-N(I36))</f>
        <v/>
      </c>
      <c r="K36" s="24" t="n"/>
      <c r="L36" s="25">
        <f>IF($D36="","",N(J36)-N(K36))</f>
        <v/>
      </c>
    </row>
    <row r="37">
      <c r="A37" s="35" t="n"/>
      <c r="B37" s="9" t="n"/>
      <c r="C37" s="9" t="n"/>
      <c r="D37" s="9" t="n"/>
      <c r="E37" s="40" t="n"/>
      <c r="F37" s="25">
        <f>IF($D37="","",IFERROR(VLOOKUP($D37,'Products &amp; Pricing'!$A$14:$D$41,4,FALSE),""))</f>
        <v/>
      </c>
      <c r="G37" s="25">
        <f>IF($D37="","",N(E37)*N(F37))</f>
        <v/>
      </c>
      <c r="H37" s="24" t="n"/>
      <c r="I37" s="24" t="n"/>
      <c r="J37" s="25">
        <f>IF($D37="","",N(G37)+N(H37)-N(I37))</f>
        <v/>
      </c>
      <c r="K37" s="24" t="n"/>
      <c r="L37" s="25">
        <f>IF($D37="","",N(J37)-N(K37))</f>
        <v/>
      </c>
    </row>
    <row r="38">
      <c r="A38" s="35" t="n"/>
      <c r="B38" s="9" t="n"/>
      <c r="C38" s="9" t="n"/>
      <c r="D38" s="9" t="n"/>
      <c r="E38" s="40" t="n"/>
      <c r="F38" s="25">
        <f>IF($D38="","",IFERROR(VLOOKUP($D38,'Products &amp; Pricing'!$A$14:$D$41,4,FALSE),""))</f>
        <v/>
      </c>
      <c r="G38" s="25">
        <f>IF($D38="","",N(E38)*N(F38))</f>
        <v/>
      </c>
      <c r="H38" s="24" t="n"/>
      <c r="I38" s="24" t="n"/>
      <c r="J38" s="25">
        <f>IF($D38="","",N(G38)+N(H38)-N(I38))</f>
        <v/>
      </c>
      <c r="K38" s="24" t="n"/>
      <c r="L38" s="25">
        <f>IF($D38="","",N(J38)-N(K38))</f>
        <v/>
      </c>
    </row>
    <row r="39">
      <c r="A39" s="35" t="n"/>
      <c r="B39" s="9" t="n"/>
      <c r="C39" s="9" t="n"/>
      <c r="D39" s="9" t="n"/>
      <c r="E39" s="40" t="n"/>
      <c r="F39" s="25">
        <f>IF($D39="","",IFERROR(VLOOKUP($D39,'Products &amp; Pricing'!$A$14:$D$41,4,FALSE),""))</f>
        <v/>
      </c>
      <c r="G39" s="25">
        <f>IF($D39="","",N(E39)*N(F39))</f>
        <v/>
      </c>
      <c r="H39" s="24" t="n"/>
      <c r="I39" s="24" t="n"/>
      <c r="J39" s="25">
        <f>IF($D39="","",N(G39)+N(H39)-N(I39))</f>
        <v/>
      </c>
      <c r="K39" s="24" t="n"/>
      <c r="L39" s="25">
        <f>IF($D39="","",N(J39)-N(K39))</f>
        <v/>
      </c>
    </row>
    <row r="40">
      <c r="A40" s="35" t="n"/>
      <c r="B40" s="9" t="n"/>
      <c r="C40" s="9" t="n"/>
      <c r="D40" s="9" t="n"/>
      <c r="E40" s="40" t="n"/>
      <c r="F40" s="25">
        <f>IF($D40="","",IFERROR(VLOOKUP($D40,'Products &amp; Pricing'!$A$14:$D$41,4,FALSE),""))</f>
        <v/>
      </c>
      <c r="G40" s="25">
        <f>IF($D40="","",N(E40)*N(F40))</f>
        <v/>
      </c>
      <c r="H40" s="24" t="n"/>
      <c r="I40" s="24" t="n"/>
      <c r="J40" s="25">
        <f>IF($D40="","",N(G40)+N(H40)-N(I40))</f>
        <v/>
      </c>
      <c r="K40" s="24" t="n"/>
      <c r="L40" s="25">
        <f>IF($D40="","",N(J40)-N(K40))</f>
        <v/>
      </c>
    </row>
    <row r="41">
      <c r="A41" s="35" t="n"/>
      <c r="B41" s="9" t="n"/>
      <c r="C41" s="9" t="n"/>
      <c r="D41" s="9" t="n"/>
      <c r="E41" s="40" t="n"/>
      <c r="F41" s="25">
        <f>IF($D41="","",IFERROR(VLOOKUP($D41,'Products &amp; Pricing'!$A$14:$D$41,4,FALSE),""))</f>
        <v/>
      </c>
      <c r="G41" s="25">
        <f>IF($D41="","",N(E41)*N(F41))</f>
        <v/>
      </c>
      <c r="H41" s="24" t="n"/>
      <c r="I41" s="24" t="n"/>
      <c r="J41" s="25">
        <f>IF($D41="","",N(G41)+N(H41)-N(I41))</f>
        <v/>
      </c>
      <c r="K41" s="24" t="n"/>
      <c r="L41" s="25">
        <f>IF($D41="","",N(J41)-N(K41))</f>
        <v/>
      </c>
    </row>
    <row r="42">
      <c r="A42" s="35" t="n"/>
      <c r="B42" s="9" t="n"/>
      <c r="C42" s="9" t="n"/>
      <c r="D42" s="9" t="n"/>
      <c r="E42" s="40" t="n"/>
      <c r="F42" s="25">
        <f>IF($D42="","",IFERROR(VLOOKUP($D42,'Products &amp; Pricing'!$A$14:$D$41,4,FALSE),""))</f>
        <v/>
      </c>
      <c r="G42" s="25">
        <f>IF($D42="","",N(E42)*N(F42))</f>
        <v/>
      </c>
      <c r="H42" s="24" t="n"/>
      <c r="I42" s="24" t="n"/>
      <c r="J42" s="25">
        <f>IF($D42="","",N(G42)+N(H42)-N(I42))</f>
        <v/>
      </c>
      <c r="K42" s="24" t="n"/>
      <c r="L42" s="25">
        <f>IF($D42="","",N(J42)-N(K42))</f>
        <v/>
      </c>
    </row>
    <row r="43">
      <c r="A43" s="35" t="n"/>
      <c r="B43" s="9" t="n"/>
      <c r="C43" s="9" t="n"/>
      <c r="D43" s="9" t="n"/>
      <c r="E43" s="40" t="n"/>
      <c r="F43" s="25">
        <f>IF($D43="","",IFERROR(VLOOKUP($D43,'Products &amp; Pricing'!$A$14:$D$41,4,FALSE),""))</f>
        <v/>
      </c>
      <c r="G43" s="25">
        <f>IF($D43="","",N(E43)*N(F43))</f>
        <v/>
      </c>
      <c r="H43" s="24" t="n"/>
      <c r="I43" s="24" t="n"/>
      <c r="J43" s="25">
        <f>IF($D43="","",N(G43)+N(H43)-N(I43))</f>
        <v/>
      </c>
      <c r="K43" s="24" t="n"/>
      <c r="L43" s="25">
        <f>IF($D43="","",N(J43)-N(K43))</f>
        <v/>
      </c>
    </row>
    <row r="44">
      <c r="A44" s="35" t="n"/>
      <c r="B44" s="9" t="n"/>
      <c r="C44" s="9" t="n"/>
      <c r="D44" s="9" t="n"/>
      <c r="E44" s="40" t="n"/>
      <c r="F44" s="25">
        <f>IF($D44="","",IFERROR(VLOOKUP($D44,'Products &amp; Pricing'!$A$14:$D$41,4,FALSE),""))</f>
        <v/>
      </c>
      <c r="G44" s="25">
        <f>IF($D44="","",N(E44)*N(F44))</f>
        <v/>
      </c>
      <c r="H44" s="24" t="n"/>
      <c r="I44" s="24" t="n"/>
      <c r="J44" s="25">
        <f>IF($D44="","",N(G44)+N(H44)-N(I44))</f>
        <v/>
      </c>
      <c r="K44" s="24" t="n"/>
      <c r="L44" s="25">
        <f>IF($D44="","",N(J44)-N(K44))</f>
        <v/>
      </c>
    </row>
    <row r="45">
      <c r="A45" s="35" t="n"/>
      <c r="B45" s="9" t="n"/>
      <c r="C45" s="9" t="n"/>
      <c r="D45" s="9" t="n"/>
      <c r="E45" s="40" t="n"/>
      <c r="F45" s="25">
        <f>IF($D45="","",IFERROR(VLOOKUP($D45,'Products &amp; Pricing'!$A$14:$D$41,4,FALSE),""))</f>
        <v/>
      </c>
      <c r="G45" s="25">
        <f>IF($D45="","",N(E45)*N(F45))</f>
        <v/>
      </c>
      <c r="H45" s="24" t="n"/>
      <c r="I45" s="24" t="n"/>
      <c r="J45" s="25">
        <f>IF($D45="","",N(G45)+N(H45)-N(I45))</f>
        <v/>
      </c>
      <c r="K45" s="24" t="n"/>
      <c r="L45" s="25">
        <f>IF($D45="","",N(J45)-N(K45))</f>
        <v/>
      </c>
    </row>
    <row r="46">
      <c r="A46" s="35" t="n"/>
      <c r="B46" s="9" t="n"/>
      <c r="C46" s="9" t="n"/>
      <c r="D46" s="9" t="n"/>
      <c r="E46" s="40" t="n"/>
      <c r="F46" s="25">
        <f>IF($D46="","",IFERROR(VLOOKUP($D46,'Products &amp; Pricing'!$A$14:$D$41,4,FALSE),""))</f>
        <v/>
      </c>
      <c r="G46" s="25">
        <f>IF($D46="","",N(E46)*N(F46))</f>
        <v/>
      </c>
      <c r="H46" s="24" t="n"/>
      <c r="I46" s="24" t="n"/>
      <c r="J46" s="25">
        <f>IF($D46="","",N(G46)+N(H46)-N(I46))</f>
        <v/>
      </c>
      <c r="K46" s="24" t="n"/>
      <c r="L46" s="25">
        <f>IF($D46="","",N(J46)-N(K46))</f>
        <v/>
      </c>
    </row>
    <row r="47">
      <c r="A47" s="35" t="n"/>
      <c r="B47" s="9" t="n"/>
      <c r="C47" s="9" t="n"/>
      <c r="D47" s="9" t="n"/>
      <c r="E47" s="40" t="n"/>
      <c r="F47" s="25">
        <f>IF($D47="","",IFERROR(VLOOKUP($D47,'Products &amp; Pricing'!$A$14:$D$41,4,FALSE),""))</f>
        <v/>
      </c>
      <c r="G47" s="25">
        <f>IF($D47="","",N(E47)*N(F47))</f>
        <v/>
      </c>
      <c r="H47" s="24" t="n"/>
      <c r="I47" s="24" t="n"/>
      <c r="J47" s="25">
        <f>IF($D47="","",N(G47)+N(H47)-N(I47))</f>
        <v/>
      </c>
      <c r="K47" s="24" t="n"/>
      <c r="L47" s="25">
        <f>IF($D47="","",N(J47)-N(K47))</f>
        <v/>
      </c>
    </row>
    <row r="48">
      <c r="A48" s="35" t="n"/>
      <c r="B48" s="9" t="n"/>
      <c r="C48" s="9" t="n"/>
      <c r="D48" s="9" t="n"/>
      <c r="E48" s="40" t="n"/>
      <c r="F48" s="25">
        <f>IF($D48="","",IFERROR(VLOOKUP($D48,'Products &amp; Pricing'!$A$14:$D$41,4,FALSE),""))</f>
        <v/>
      </c>
      <c r="G48" s="25">
        <f>IF($D48="","",N(E48)*N(F48))</f>
        <v/>
      </c>
      <c r="H48" s="24" t="n"/>
      <c r="I48" s="24" t="n"/>
      <c r="J48" s="25">
        <f>IF($D48="","",N(G48)+N(H48)-N(I48))</f>
        <v/>
      </c>
      <c r="K48" s="24" t="n"/>
      <c r="L48" s="25">
        <f>IF($D48="","",N(J48)-N(K48))</f>
        <v/>
      </c>
    </row>
    <row r="49">
      <c r="A49" s="35" t="n"/>
      <c r="B49" s="9" t="n"/>
      <c r="C49" s="9" t="n"/>
      <c r="D49" s="9" t="n"/>
      <c r="E49" s="40" t="n"/>
      <c r="F49" s="25">
        <f>IF($D49="","",IFERROR(VLOOKUP($D49,'Products &amp; Pricing'!$A$14:$D$41,4,FALSE),""))</f>
        <v/>
      </c>
      <c r="G49" s="25">
        <f>IF($D49="","",N(E49)*N(F49))</f>
        <v/>
      </c>
      <c r="H49" s="24" t="n"/>
      <c r="I49" s="24" t="n"/>
      <c r="J49" s="25">
        <f>IF($D49="","",N(G49)+N(H49)-N(I49))</f>
        <v/>
      </c>
      <c r="K49" s="24" t="n"/>
      <c r="L49" s="25">
        <f>IF($D49="","",N(J49)-N(K49))</f>
        <v/>
      </c>
    </row>
    <row r="50">
      <c r="A50" s="35" t="n"/>
      <c r="B50" s="9" t="n"/>
      <c r="C50" s="9" t="n"/>
      <c r="D50" s="9" t="n"/>
      <c r="E50" s="40" t="n"/>
      <c r="F50" s="25">
        <f>IF($D50="","",IFERROR(VLOOKUP($D50,'Products &amp; Pricing'!$A$14:$D$41,4,FALSE),""))</f>
        <v/>
      </c>
      <c r="G50" s="25">
        <f>IF($D50="","",N(E50)*N(F50))</f>
        <v/>
      </c>
      <c r="H50" s="24" t="n"/>
      <c r="I50" s="24" t="n"/>
      <c r="J50" s="25">
        <f>IF($D50="","",N(G50)+N(H50)-N(I50))</f>
        <v/>
      </c>
      <c r="K50" s="24" t="n"/>
      <c r="L50" s="25">
        <f>IF($D50="","",N(J50)-N(K50))</f>
        <v/>
      </c>
    </row>
    <row r="51">
      <c r="A51" s="35" t="n"/>
      <c r="B51" s="9" t="n"/>
      <c r="C51" s="9" t="n"/>
      <c r="D51" s="9" t="n"/>
      <c r="E51" s="40" t="n"/>
      <c r="F51" s="25">
        <f>IF($D51="","",IFERROR(VLOOKUP($D51,'Products &amp; Pricing'!$A$14:$D$41,4,FALSE),""))</f>
        <v/>
      </c>
      <c r="G51" s="25">
        <f>IF($D51="","",N(E51)*N(F51))</f>
        <v/>
      </c>
      <c r="H51" s="24" t="n"/>
      <c r="I51" s="24" t="n"/>
      <c r="J51" s="25">
        <f>IF($D51="","",N(G51)+N(H51)-N(I51))</f>
        <v/>
      </c>
      <c r="K51" s="24" t="n"/>
      <c r="L51" s="25">
        <f>IF($D51="","",N(J51)-N(K51))</f>
        <v/>
      </c>
    </row>
    <row r="52">
      <c r="A52" s="35" t="n"/>
      <c r="B52" s="9" t="n"/>
      <c r="C52" s="9" t="n"/>
      <c r="D52" s="9" t="n"/>
      <c r="E52" s="40" t="n"/>
      <c r="F52" s="25">
        <f>IF($D52="","",IFERROR(VLOOKUP($D52,'Products &amp; Pricing'!$A$14:$D$41,4,FALSE),""))</f>
        <v/>
      </c>
      <c r="G52" s="25">
        <f>IF($D52="","",N(E52)*N(F52))</f>
        <v/>
      </c>
      <c r="H52" s="24" t="n"/>
      <c r="I52" s="24" t="n"/>
      <c r="J52" s="25">
        <f>IF($D52="","",N(G52)+N(H52)-N(I52))</f>
        <v/>
      </c>
      <c r="K52" s="24" t="n"/>
      <c r="L52" s="25">
        <f>IF($D52="","",N(J52)-N(K52))</f>
        <v/>
      </c>
    </row>
    <row r="53">
      <c r="A53" s="35" t="n"/>
      <c r="B53" s="9" t="n"/>
      <c r="C53" s="9" t="n"/>
      <c r="D53" s="9" t="n"/>
      <c r="E53" s="40" t="n"/>
      <c r="F53" s="25">
        <f>IF($D53="","",IFERROR(VLOOKUP($D53,'Products &amp; Pricing'!$A$14:$D$41,4,FALSE),""))</f>
        <v/>
      </c>
      <c r="G53" s="25">
        <f>IF($D53="","",N(E53)*N(F53))</f>
        <v/>
      </c>
      <c r="H53" s="24" t="n"/>
      <c r="I53" s="24" t="n"/>
      <c r="J53" s="25">
        <f>IF($D53="","",N(G53)+N(H53)-N(I53))</f>
        <v/>
      </c>
      <c r="K53" s="24" t="n"/>
      <c r="L53" s="25">
        <f>IF($D53="","",N(J53)-N(K53))</f>
        <v/>
      </c>
    </row>
    <row r="54">
      <c r="A54" s="35" t="n"/>
      <c r="B54" s="9" t="n"/>
      <c r="C54" s="9" t="n"/>
      <c r="D54" s="9" t="n"/>
      <c r="E54" s="40" t="n"/>
      <c r="F54" s="25">
        <f>IF($D54="","",IFERROR(VLOOKUP($D54,'Products &amp; Pricing'!$A$14:$D$41,4,FALSE),""))</f>
        <v/>
      </c>
      <c r="G54" s="25">
        <f>IF($D54="","",N(E54)*N(F54))</f>
        <v/>
      </c>
      <c r="H54" s="24" t="n"/>
      <c r="I54" s="24" t="n"/>
      <c r="J54" s="25">
        <f>IF($D54="","",N(G54)+N(H54)-N(I54))</f>
        <v/>
      </c>
      <c r="K54" s="24" t="n"/>
      <c r="L54" s="25">
        <f>IF($D54="","",N(J54)-N(K54))</f>
        <v/>
      </c>
    </row>
    <row r="55">
      <c r="A55" s="35" t="n"/>
      <c r="B55" s="9" t="n"/>
      <c r="C55" s="9" t="n"/>
      <c r="D55" s="9" t="n"/>
      <c r="E55" s="40" t="n"/>
      <c r="F55" s="25">
        <f>IF($D55="","",IFERROR(VLOOKUP($D55,'Products &amp; Pricing'!$A$14:$D$41,4,FALSE),""))</f>
        <v/>
      </c>
      <c r="G55" s="25">
        <f>IF($D55="","",N(E55)*N(F55))</f>
        <v/>
      </c>
      <c r="H55" s="24" t="n"/>
      <c r="I55" s="24" t="n"/>
      <c r="J55" s="25">
        <f>IF($D55="","",N(G55)+N(H55)-N(I55))</f>
        <v/>
      </c>
      <c r="K55" s="24" t="n"/>
      <c r="L55" s="25">
        <f>IF($D55="","",N(J55)-N(K55))</f>
        <v/>
      </c>
    </row>
    <row r="56">
      <c r="A56" s="35" t="n"/>
      <c r="B56" s="9" t="n"/>
      <c r="C56" s="9" t="n"/>
      <c r="D56" s="9" t="n"/>
      <c r="E56" s="40" t="n"/>
      <c r="F56" s="25">
        <f>IF($D56="","",IFERROR(VLOOKUP($D56,'Products &amp; Pricing'!$A$14:$D$41,4,FALSE),""))</f>
        <v/>
      </c>
      <c r="G56" s="25">
        <f>IF($D56="","",N(E56)*N(F56))</f>
        <v/>
      </c>
      <c r="H56" s="24" t="n"/>
      <c r="I56" s="24" t="n"/>
      <c r="J56" s="25">
        <f>IF($D56="","",N(G56)+N(H56)-N(I56))</f>
        <v/>
      </c>
      <c r="K56" s="24" t="n"/>
      <c r="L56" s="25">
        <f>IF($D56="","",N(J56)-N(K56))</f>
        <v/>
      </c>
    </row>
    <row r="57">
      <c r="A57" s="35" t="n"/>
      <c r="B57" s="9" t="n"/>
      <c r="C57" s="9" t="n"/>
      <c r="D57" s="9" t="n"/>
      <c r="E57" s="40" t="n"/>
      <c r="F57" s="25">
        <f>IF($D57="","",IFERROR(VLOOKUP($D57,'Products &amp; Pricing'!$A$14:$D$41,4,FALSE),""))</f>
        <v/>
      </c>
      <c r="G57" s="25">
        <f>IF($D57="","",N(E57)*N(F57))</f>
        <v/>
      </c>
      <c r="H57" s="24" t="n"/>
      <c r="I57" s="24" t="n"/>
      <c r="J57" s="25">
        <f>IF($D57="","",N(G57)+N(H57)-N(I57))</f>
        <v/>
      </c>
      <c r="K57" s="24" t="n"/>
      <c r="L57" s="25">
        <f>IF($D57="","",N(J57)-N(K57))</f>
        <v/>
      </c>
    </row>
    <row r="58">
      <c r="A58" s="35" t="n"/>
      <c r="B58" s="9" t="n"/>
      <c r="C58" s="9" t="n"/>
      <c r="D58" s="9" t="n"/>
      <c r="E58" s="40" t="n"/>
      <c r="F58" s="25">
        <f>IF($D58="","",IFERROR(VLOOKUP($D58,'Products &amp; Pricing'!$A$14:$D$41,4,FALSE),""))</f>
        <v/>
      </c>
      <c r="G58" s="25">
        <f>IF($D58="","",N(E58)*N(F58))</f>
        <v/>
      </c>
      <c r="H58" s="24" t="n"/>
      <c r="I58" s="24" t="n"/>
      <c r="J58" s="25">
        <f>IF($D58="","",N(G58)+N(H58)-N(I58))</f>
        <v/>
      </c>
      <c r="K58" s="24" t="n"/>
      <c r="L58" s="25">
        <f>IF($D58="","",N(J58)-N(K58))</f>
        <v/>
      </c>
    </row>
    <row r="59">
      <c r="A59" s="35" t="n"/>
      <c r="B59" s="9" t="n"/>
      <c r="C59" s="9" t="n"/>
      <c r="D59" s="9" t="n"/>
      <c r="E59" s="40" t="n"/>
      <c r="F59" s="25">
        <f>IF($D59="","",IFERROR(VLOOKUP($D59,'Products &amp; Pricing'!$A$14:$D$41,4,FALSE),""))</f>
        <v/>
      </c>
      <c r="G59" s="25">
        <f>IF($D59="","",N(E59)*N(F59))</f>
        <v/>
      </c>
      <c r="H59" s="24" t="n"/>
      <c r="I59" s="24" t="n"/>
      <c r="J59" s="25">
        <f>IF($D59="","",N(G59)+N(H59)-N(I59))</f>
        <v/>
      </c>
      <c r="K59" s="24" t="n"/>
      <c r="L59" s="25">
        <f>IF($D59="","",N(J59)-N(K59))</f>
        <v/>
      </c>
    </row>
    <row r="60">
      <c r="A60" s="35" t="n"/>
      <c r="B60" s="9" t="n"/>
      <c r="C60" s="9" t="n"/>
      <c r="D60" s="9" t="n"/>
      <c r="E60" s="40" t="n"/>
      <c r="F60" s="25">
        <f>IF($D60="","",IFERROR(VLOOKUP($D60,'Products &amp; Pricing'!$A$14:$D$41,4,FALSE),""))</f>
        <v/>
      </c>
      <c r="G60" s="25">
        <f>IF($D60="","",N(E60)*N(F60))</f>
        <v/>
      </c>
      <c r="H60" s="24" t="n"/>
      <c r="I60" s="24" t="n"/>
      <c r="J60" s="25">
        <f>IF($D60="","",N(G60)+N(H60)-N(I60))</f>
        <v/>
      </c>
      <c r="K60" s="24" t="n"/>
      <c r="L60" s="25">
        <f>IF($D60="","",N(J60)-N(K60))</f>
        <v/>
      </c>
    </row>
    <row r="61">
      <c r="A61" s="35" t="n"/>
      <c r="B61" s="9" t="n"/>
      <c r="C61" s="9" t="n"/>
      <c r="D61" s="9" t="n"/>
      <c r="E61" s="40" t="n"/>
      <c r="F61" s="25">
        <f>IF($D61="","",IFERROR(VLOOKUP($D61,'Products &amp; Pricing'!$A$14:$D$41,4,FALSE),""))</f>
        <v/>
      </c>
      <c r="G61" s="25">
        <f>IF($D61="","",N(E61)*N(F61))</f>
        <v/>
      </c>
      <c r="H61" s="24" t="n"/>
      <c r="I61" s="24" t="n"/>
      <c r="J61" s="25">
        <f>IF($D61="","",N(G61)+N(H61)-N(I61))</f>
        <v/>
      </c>
      <c r="K61" s="24" t="n"/>
      <c r="L61" s="25">
        <f>IF($D61="","",N(J61)-N(K61))</f>
        <v/>
      </c>
    </row>
    <row r="62">
      <c r="A62" s="35" t="n"/>
      <c r="B62" s="9" t="n"/>
      <c r="C62" s="9" t="n"/>
      <c r="D62" s="9" t="n"/>
      <c r="E62" s="40" t="n"/>
      <c r="F62" s="25">
        <f>IF($D62="","",IFERROR(VLOOKUP($D62,'Products &amp; Pricing'!$A$14:$D$41,4,FALSE),""))</f>
        <v/>
      </c>
      <c r="G62" s="25">
        <f>IF($D62="","",N(E62)*N(F62))</f>
        <v/>
      </c>
      <c r="H62" s="24" t="n"/>
      <c r="I62" s="24" t="n"/>
      <c r="J62" s="25">
        <f>IF($D62="","",N(G62)+N(H62)-N(I62))</f>
        <v/>
      </c>
      <c r="K62" s="24" t="n"/>
      <c r="L62" s="25">
        <f>IF($D62="","",N(J62)-N(K62))</f>
        <v/>
      </c>
    </row>
    <row r="63">
      <c r="A63" s="35" t="n"/>
      <c r="B63" s="9" t="n"/>
      <c r="C63" s="9" t="n"/>
      <c r="D63" s="9" t="n"/>
      <c r="E63" s="40" t="n"/>
      <c r="F63" s="25">
        <f>IF($D63="","",IFERROR(VLOOKUP($D63,'Products &amp; Pricing'!$A$14:$D$41,4,FALSE),""))</f>
        <v/>
      </c>
      <c r="G63" s="25">
        <f>IF($D63="","",N(E63)*N(F63))</f>
        <v/>
      </c>
      <c r="H63" s="24" t="n"/>
      <c r="I63" s="24" t="n"/>
      <c r="J63" s="25">
        <f>IF($D63="","",N(G63)+N(H63)-N(I63))</f>
        <v/>
      </c>
      <c r="K63" s="24" t="n"/>
      <c r="L63" s="25">
        <f>IF($D63="","",N(J63)-N(K63))</f>
        <v/>
      </c>
    </row>
    <row r="64">
      <c r="A64" s="35" t="n"/>
      <c r="B64" s="9" t="n"/>
      <c r="C64" s="9" t="n"/>
      <c r="D64" s="9" t="n"/>
      <c r="E64" s="40" t="n"/>
      <c r="F64" s="25">
        <f>IF($D64="","",IFERROR(VLOOKUP($D64,'Products &amp; Pricing'!$A$14:$D$41,4,FALSE),""))</f>
        <v/>
      </c>
      <c r="G64" s="25">
        <f>IF($D64="","",N(E64)*N(F64))</f>
        <v/>
      </c>
      <c r="H64" s="24" t="n"/>
      <c r="I64" s="24" t="n"/>
      <c r="J64" s="25">
        <f>IF($D64="","",N(G64)+N(H64)-N(I64))</f>
        <v/>
      </c>
      <c r="K64" s="24" t="n"/>
      <c r="L64" s="25">
        <f>IF($D64="","",N(J64)-N(K64))</f>
        <v/>
      </c>
    </row>
    <row r="65">
      <c r="A65" s="35" t="n"/>
      <c r="B65" s="9" t="n"/>
      <c r="C65" s="9" t="n"/>
      <c r="D65" s="9" t="n"/>
      <c r="E65" s="40" t="n"/>
      <c r="F65" s="25">
        <f>IF($D65="","",IFERROR(VLOOKUP($D65,'Products &amp; Pricing'!$A$14:$D$41,4,FALSE),""))</f>
        <v/>
      </c>
      <c r="G65" s="25">
        <f>IF($D65="","",N(E65)*N(F65))</f>
        <v/>
      </c>
      <c r="H65" s="24" t="n"/>
      <c r="I65" s="24" t="n"/>
      <c r="J65" s="25">
        <f>IF($D65="","",N(G65)+N(H65)-N(I65))</f>
        <v/>
      </c>
      <c r="K65" s="24" t="n"/>
      <c r="L65" s="25">
        <f>IF($D65="","",N(J65)-N(K65))</f>
        <v/>
      </c>
    </row>
    <row r="66">
      <c r="A66" s="35" t="n"/>
      <c r="B66" s="9" t="n"/>
      <c r="C66" s="9" t="n"/>
      <c r="D66" s="9" t="n"/>
      <c r="E66" s="40" t="n"/>
      <c r="F66" s="25">
        <f>IF($D66="","",IFERROR(VLOOKUP($D66,'Products &amp; Pricing'!$A$14:$D$41,4,FALSE),""))</f>
        <v/>
      </c>
      <c r="G66" s="25">
        <f>IF($D66="","",N(E66)*N(F66))</f>
        <v/>
      </c>
      <c r="H66" s="24" t="n"/>
      <c r="I66" s="24" t="n"/>
      <c r="J66" s="25">
        <f>IF($D66="","",N(G66)+N(H66)-N(I66))</f>
        <v/>
      </c>
      <c r="K66" s="24" t="n"/>
      <c r="L66" s="25">
        <f>IF($D66="","",N(J66)-N(K66))</f>
        <v/>
      </c>
    </row>
    <row r="67">
      <c r="A67" s="35" t="n"/>
      <c r="B67" s="9" t="n"/>
      <c r="C67" s="9" t="n"/>
      <c r="D67" s="9" t="n"/>
      <c r="E67" s="40" t="n"/>
      <c r="F67" s="25">
        <f>IF($D67="","",IFERROR(VLOOKUP($D67,'Products &amp; Pricing'!$A$14:$D$41,4,FALSE),""))</f>
        <v/>
      </c>
      <c r="G67" s="25">
        <f>IF($D67="","",N(E67)*N(F67))</f>
        <v/>
      </c>
      <c r="H67" s="24" t="n"/>
      <c r="I67" s="24" t="n"/>
      <c r="J67" s="25">
        <f>IF($D67="","",N(G67)+N(H67)-N(I67))</f>
        <v/>
      </c>
      <c r="K67" s="24" t="n"/>
      <c r="L67" s="25">
        <f>IF($D67="","",N(J67)-N(K67))</f>
        <v/>
      </c>
    </row>
    <row r="68">
      <c r="A68" s="35" t="n"/>
      <c r="B68" s="9" t="n"/>
      <c r="C68" s="9" t="n"/>
      <c r="D68" s="9" t="n"/>
      <c r="E68" s="40" t="n"/>
      <c r="F68" s="25">
        <f>IF($D68="","",IFERROR(VLOOKUP($D68,'Products &amp; Pricing'!$A$14:$D$41,4,FALSE),""))</f>
        <v/>
      </c>
      <c r="G68" s="25">
        <f>IF($D68="","",N(E68)*N(F68))</f>
        <v/>
      </c>
      <c r="H68" s="24" t="n"/>
      <c r="I68" s="24" t="n"/>
      <c r="J68" s="25">
        <f>IF($D68="","",N(G68)+N(H68)-N(I68))</f>
        <v/>
      </c>
      <c r="K68" s="24" t="n"/>
      <c r="L68" s="25">
        <f>IF($D68="","",N(J68)-N(K68))</f>
        <v/>
      </c>
    </row>
    <row r="69">
      <c r="A69" s="35" t="n"/>
      <c r="B69" s="9" t="n"/>
      <c r="C69" s="9" t="n"/>
      <c r="D69" s="9" t="n"/>
      <c r="E69" s="40" t="n"/>
      <c r="F69" s="25">
        <f>IF($D69="","",IFERROR(VLOOKUP($D69,'Products &amp; Pricing'!$A$14:$D$41,4,FALSE),""))</f>
        <v/>
      </c>
      <c r="G69" s="25">
        <f>IF($D69="","",N(E69)*N(F69))</f>
        <v/>
      </c>
      <c r="H69" s="24" t="n"/>
      <c r="I69" s="24" t="n"/>
      <c r="J69" s="25">
        <f>IF($D69="","",N(G69)+N(H69)-N(I69))</f>
        <v/>
      </c>
      <c r="K69" s="24" t="n"/>
      <c r="L69" s="25">
        <f>IF($D69="","",N(J69)-N(K69))</f>
        <v/>
      </c>
    </row>
    <row r="70">
      <c r="A70" s="35" t="n"/>
      <c r="B70" s="9" t="n"/>
      <c r="C70" s="9" t="n"/>
      <c r="D70" s="9" t="n"/>
      <c r="E70" s="40" t="n"/>
      <c r="F70" s="25">
        <f>IF($D70="","",IFERROR(VLOOKUP($D70,'Products &amp; Pricing'!$A$14:$D$41,4,FALSE),""))</f>
        <v/>
      </c>
      <c r="G70" s="25">
        <f>IF($D70="","",N(E70)*N(F70))</f>
        <v/>
      </c>
      <c r="H70" s="24" t="n"/>
      <c r="I70" s="24" t="n"/>
      <c r="J70" s="25">
        <f>IF($D70="","",N(G70)+N(H70)-N(I70))</f>
        <v/>
      </c>
      <c r="K70" s="24" t="n"/>
      <c r="L70" s="25">
        <f>IF($D70="","",N(J70)-N(K70))</f>
        <v/>
      </c>
    </row>
    <row r="71">
      <c r="A71" s="35" t="n"/>
      <c r="B71" s="9" t="n"/>
      <c r="C71" s="9" t="n"/>
      <c r="D71" s="9" t="n"/>
      <c r="E71" s="40" t="n"/>
      <c r="F71" s="25">
        <f>IF($D71="","",IFERROR(VLOOKUP($D71,'Products &amp; Pricing'!$A$14:$D$41,4,FALSE),""))</f>
        <v/>
      </c>
      <c r="G71" s="25">
        <f>IF($D71="","",N(E71)*N(F71))</f>
        <v/>
      </c>
      <c r="H71" s="24" t="n"/>
      <c r="I71" s="24" t="n"/>
      <c r="J71" s="25">
        <f>IF($D71="","",N(G71)+N(H71)-N(I71))</f>
        <v/>
      </c>
      <c r="K71" s="24" t="n"/>
      <c r="L71" s="25">
        <f>IF($D71="","",N(J71)-N(K71))</f>
        <v/>
      </c>
    </row>
    <row r="72">
      <c r="A72" s="35" t="n"/>
      <c r="B72" s="9" t="n"/>
      <c r="C72" s="9" t="n"/>
      <c r="D72" s="9" t="n"/>
      <c r="E72" s="40" t="n"/>
      <c r="F72" s="25">
        <f>IF($D72="","",IFERROR(VLOOKUP($D72,'Products &amp; Pricing'!$A$14:$D$41,4,FALSE),""))</f>
        <v/>
      </c>
      <c r="G72" s="25">
        <f>IF($D72="","",N(E72)*N(F72))</f>
        <v/>
      </c>
      <c r="H72" s="24" t="n"/>
      <c r="I72" s="24" t="n"/>
      <c r="J72" s="25">
        <f>IF($D72="","",N(G72)+N(H72)-N(I72))</f>
        <v/>
      </c>
      <c r="K72" s="24" t="n"/>
      <c r="L72" s="25">
        <f>IF($D72="","",N(J72)-N(K72))</f>
        <v/>
      </c>
    </row>
    <row r="73">
      <c r="A73" s="35" t="n"/>
      <c r="B73" s="9" t="n"/>
      <c r="C73" s="9" t="n"/>
      <c r="D73" s="9" t="n"/>
      <c r="E73" s="40" t="n"/>
      <c r="F73" s="25">
        <f>IF($D73="","",IFERROR(VLOOKUP($D73,'Products &amp; Pricing'!$A$14:$D$41,4,FALSE),""))</f>
        <v/>
      </c>
      <c r="G73" s="25">
        <f>IF($D73="","",N(E73)*N(F73))</f>
        <v/>
      </c>
      <c r="H73" s="24" t="n"/>
      <c r="I73" s="24" t="n"/>
      <c r="J73" s="25">
        <f>IF($D73="","",N(G73)+N(H73)-N(I73))</f>
        <v/>
      </c>
      <c r="K73" s="24" t="n"/>
      <c r="L73" s="25">
        <f>IF($D73="","",N(J73)-N(K73))</f>
        <v/>
      </c>
    </row>
    <row r="74">
      <c r="A74" s="35" t="n"/>
      <c r="B74" s="9" t="n"/>
      <c r="C74" s="9" t="n"/>
      <c r="D74" s="9" t="n"/>
      <c r="E74" s="40" t="n"/>
      <c r="F74" s="25">
        <f>IF($D74="","",IFERROR(VLOOKUP($D74,'Products &amp; Pricing'!$A$14:$D$41,4,FALSE),""))</f>
        <v/>
      </c>
      <c r="G74" s="25">
        <f>IF($D74="","",N(E74)*N(F74))</f>
        <v/>
      </c>
      <c r="H74" s="24" t="n"/>
      <c r="I74" s="24" t="n"/>
      <c r="J74" s="25">
        <f>IF($D74="","",N(G74)+N(H74)-N(I74))</f>
        <v/>
      </c>
      <c r="K74" s="24" t="n"/>
      <c r="L74" s="25">
        <f>IF($D74="","",N(J74)-N(K74))</f>
        <v/>
      </c>
    </row>
    <row r="75">
      <c r="A75" s="35" t="n"/>
      <c r="B75" s="9" t="n"/>
      <c r="C75" s="9" t="n"/>
      <c r="D75" s="9" t="n"/>
      <c r="E75" s="40" t="n"/>
      <c r="F75" s="25">
        <f>IF($D75="","",IFERROR(VLOOKUP($D75,'Products &amp; Pricing'!$A$14:$D$41,4,FALSE),""))</f>
        <v/>
      </c>
      <c r="G75" s="25">
        <f>IF($D75="","",N(E75)*N(F75))</f>
        <v/>
      </c>
      <c r="H75" s="24" t="n"/>
      <c r="I75" s="24" t="n"/>
      <c r="J75" s="25">
        <f>IF($D75="","",N(G75)+N(H75)-N(I75))</f>
        <v/>
      </c>
      <c r="K75" s="24" t="n"/>
      <c r="L75" s="25">
        <f>IF($D75="","",N(J75)-N(K75))</f>
        <v/>
      </c>
    </row>
    <row r="76">
      <c r="A76" s="35" t="n"/>
      <c r="B76" s="9" t="n"/>
      <c r="C76" s="9" t="n"/>
      <c r="D76" s="9" t="n"/>
      <c r="E76" s="40" t="n"/>
      <c r="F76" s="25">
        <f>IF($D76="","",IFERROR(VLOOKUP($D76,'Products &amp; Pricing'!$A$14:$D$41,4,FALSE),""))</f>
        <v/>
      </c>
      <c r="G76" s="25">
        <f>IF($D76="","",N(E76)*N(F76))</f>
        <v/>
      </c>
      <c r="H76" s="24" t="n"/>
      <c r="I76" s="24" t="n"/>
      <c r="J76" s="25">
        <f>IF($D76="","",N(G76)+N(H76)-N(I76))</f>
        <v/>
      </c>
      <c r="K76" s="24" t="n"/>
      <c r="L76" s="25">
        <f>IF($D76="","",N(J76)-N(K76))</f>
        <v/>
      </c>
    </row>
    <row r="77">
      <c r="A77" s="35" t="n"/>
      <c r="B77" s="9" t="n"/>
      <c r="C77" s="9" t="n"/>
      <c r="D77" s="9" t="n"/>
      <c r="E77" s="40" t="n"/>
      <c r="F77" s="25">
        <f>IF($D77="","",IFERROR(VLOOKUP($D77,'Products &amp; Pricing'!$A$14:$D$41,4,FALSE),""))</f>
        <v/>
      </c>
      <c r="G77" s="25">
        <f>IF($D77="","",N(E77)*N(F77))</f>
        <v/>
      </c>
      <c r="H77" s="24" t="n"/>
      <c r="I77" s="24" t="n"/>
      <c r="J77" s="25">
        <f>IF($D77="","",N(G77)+N(H77)-N(I77))</f>
        <v/>
      </c>
      <c r="K77" s="24" t="n"/>
      <c r="L77" s="25">
        <f>IF($D77="","",N(J77)-N(K77))</f>
        <v/>
      </c>
    </row>
    <row r="78">
      <c r="A78" s="35" t="n"/>
      <c r="B78" s="9" t="n"/>
      <c r="C78" s="9" t="n"/>
      <c r="D78" s="9" t="n"/>
      <c r="E78" s="40" t="n"/>
      <c r="F78" s="25">
        <f>IF($D78="","",IFERROR(VLOOKUP($D78,'Products &amp; Pricing'!$A$14:$D$41,4,FALSE),""))</f>
        <v/>
      </c>
      <c r="G78" s="25">
        <f>IF($D78="","",N(E78)*N(F78))</f>
        <v/>
      </c>
      <c r="H78" s="24" t="n"/>
      <c r="I78" s="24" t="n"/>
      <c r="J78" s="25">
        <f>IF($D78="","",N(G78)+N(H78)-N(I78))</f>
        <v/>
      </c>
      <c r="K78" s="24" t="n"/>
      <c r="L78" s="25">
        <f>IF($D78="","",N(J78)-N(K78))</f>
        <v/>
      </c>
    </row>
    <row r="79">
      <c r="A79" s="35" t="n"/>
      <c r="B79" s="9" t="n"/>
      <c r="C79" s="9" t="n"/>
      <c r="D79" s="9" t="n"/>
      <c r="E79" s="40" t="n"/>
      <c r="F79" s="25">
        <f>IF($D79="","",IFERROR(VLOOKUP($D79,'Products &amp; Pricing'!$A$14:$D$41,4,FALSE),""))</f>
        <v/>
      </c>
      <c r="G79" s="25">
        <f>IF($D79="","",N(E79)*N(F79))</f>
        <v/>
      </c>
      <c r="H79" s="24" t="n"/>
      <c r="I79" s="24" t="n"/>
      <c r="J79" s="25">
        <f>IF($D79="","",N(G79)+N(H79)-N(I79))</f>
        <v/>
      </c>
      <c r="K79" s="24" t="n"/>
      <c r="L79" s="25">
        <f>IF($D79="","",N(J79)-N(K79))</f>
        <v/>
      </c>
    </row>
    <row r="80">
      <c r="A80" s="35" t="n"/>
      <c r="B80" s="9" t="n"/>
      <c r="C80" s="9" t="n"/>
      <c r="D80" s="9" t="n"/>
      <c r="E80" s="40" t="n"/>
      <c r="F80" s="25">
        <f>IF($D80="","",IFERROR(VLOOKUP($D80,'Products &amp; Pricing'!$A$14:$D$41,4,FALSE),""))</f>
        <v/>
      </c>
      <c r="G80" s="25">
        <f>IF($D80="","",N(E80)*N(F80))</f>
        <v/>
      </c>
      <c r="H80" s="24" t="n"/>
      <c r="I80" s="24" t="n"/>
      <c r="J80" s="25">
        <f>IF($D80="","",N(G80)+N(H80)-N(I80))</f>
        <v/>
      </c>
      <c r="K80" s="24" t="n"/>
      <c r="L80" s="25">
        <f>IF($D80="","",N(J80)-N(K80))</f>
        <v/>
      </c>
    </row>
    <row r="81">
      <c r="A81" s="35" t="n"/>
      <c r="B81" s="9" t="n"/>
      <c r="C81" s="9" t="n"/>
      <c r="D81" s="9" t="n"/>
      <c r="E81" s="40" t="n"/>
      <c r="F81" s="25">
        <f>IF($D81="","",IFERROR(VLOOKUP($D81,'Products &amp; Pricing'!$A$14:$D$41,4,FALSE),""))</f>
        <v/>
      </c>
      <c r="G81" s="25">
        <f>IF($D81="","",N(E81)*N(F81))</f>
        <v/>
      </c>
      <c r="H81" s="24" t="n"/>
      <c r="I81" s="24" t="n"/>
      <c r="J81" s="25">
        <f>IF($D81="","",N(G81)+N(H81)-N(I81))</f>
        <v/>
      </c>
      <c r="K81" s="24" t="n"/>
      <c r="L81" s="25">
        <f>IF($D81="","",N(J81)-N(K81))</f>
        <v/>
      </c>
    </row>
    <row r="82">
      <c r="A82" s="35" t="n"/>
      <c r="B82" s="9" t="n"/>
      <c r="C82" s="9" t="n"/>
      <c r="D82" s="9" t="n"/>
      <c r="E82" s="40" t="n"/>
      <c r="F82" s="25">
        <f>IF($D82="","",IFERROR(VLOOKUP($D82,'Products &amp; Pricing'!$A$14:$D$41,4,FALSE),""))</f>
        <v/>
      </c>
      <c r="G82" s="25">
        <f>IF($D82="","",N(E82)*N(F82))</f>
        <v/>
      </c>
      <c r="H82" s="24" t="n"/>
      <c r="I82" s="24" t="n"/>
      <c r="J82" s="25">
        <f>IF($D82="","",N(G82)+N(H82)-N(I82))</f>
        <v/>
      </c>
      <c r="K82" s="24" t="n"/>
      <c r="L82" s="25">
        <f>IF($D82="","",N(J82)-N(K82))</f>
        <v/>
      </c>
    </row>
    <row r="83">
      <c r="A83" s="35" t="n"/>
      <c r="B83" s="9" t="n"/>
      <c r="C83" s="9" t="n"/>
      <c r="D83" s="9" t="n"/>
      <c r="E83" s="40" t="n"/>
      <c r="F83" s="25">
        <f>IF($D83="","",IFERROR(VLOOKUP($D83,'Products &amp; Pricing'!$A$14:$D$41,4,FALSE),""))</f>
        <v/>
      </c>
      <c r="G83" s="25">
        <f>IF($D83="","",N(E83)*N(F83))</f>
        <v/>
      </c>
      <c r="H83" s="24" t="n"/>
      <c r="I83" s="24" t="n"/>
      <c r="J83" s="25">
        <f>IF($D83="","",N(G83)+N(H83)-N(I83))</f>
        <v/>
      </c>
      <c r="K83" s="24" t="n"/>
      <c r="L83" s="25">
        <f>IF($D83="","",N(J83)-N(K83))</f>
        <v/>
      </c>
    </row>
    <row r="84">
      <c r="A84" s="35" t="n"/>
      <c r="B84" s="9" t="n"/>
      <c r="C84" s="9" t="n"/>
      <c r="D84" s="9" t="n"/>
      <c r="E84" s="40" t="n"/>
      <c r="F84" s="25">
        <f>IF($D84="","",IFERROR(VLOOKUP($D84,'Products &amp; Pricing'!$A$14:$D$41,4,FALSE),""))</f>
        <v/>
      </c>
      <c r="G84" s="25">
        <f>IF($D84="","",N(E84)*N(F84))</f>
        <v/>
      </c>
      <c r="H84" s="24" t="n"/>
      <c r="I84" s="24" t="n"/>
      <c r="J84" s="25">
        <f>IF($D84="","",N(G84)+N(H84)-N(I84))</f>
        <v/>
      </c>
      <c r="K84" s="24" t="n"/>
      <c r="L84" s="25">
        <f>IF($D84="","",N(J84)-N(K84))</f>
        <v/>
      </c>
    </row>
    <row r="85">
      <c r="A85" s="35" t="n"/>
      <c r="B85" s="9" t="n"/>
      <c r="C85" s="9" t="n"/>
      <c r="D85" s="9" t="n"/>
      <c r="E85" s="40" t="n"/>
      <c r="F85" s="25">
        <f>IF($D85="","",IFERROR(VLOOKUP($D85,'Products &amp; Pricing'!$A$14:$D$41,4,FALSE),""))</f>
        <v/>
      </c>
      <c r="G85" s="25">
        <f>IF($D85="","",N(E85)*N(F85))</f>
        <v/>
      </c>
      <c r="H85" s="24" t="n"/>
      <c r="I85" s="24" t="n"/>
      <c r="J85" s="25">
        <f>IF($D85="","",N(G85)+N(H85)-N(I85))</f>
        <v/>
      </c>
      <c r="K85" s="24" t="n"/>
      <c r="L85" s="25">
        <f>IF($D85="","",N(J85)-N(K85))</f>
        <v/>
      </c>
    </row>
    <row r="86">
      <c r="A86" s="35" t="n"/>
      <c r="B86" s="9" t="n"/>
      <c r="C86" s="9" t="n"/>
      <c r="D86" s="9" t="n"/>
      <c r="E86" s="40" t="n"/>
      <c r="F86" s="25">
        <f>IF($D86="","",IFERROR(VLOOKUP($D86,'Products &amp; Pricing'!$A$14:$D$41,4,FALSE),""))</f>
        <v/>
      </c>
      <c r="G86" s="25">
        <f>IF($D86="","",N(E86)*N(F86))</f>
        <v/>
      </c>
      <c r="H86" s="24" t="n"/>
      <c r="I86" s="24" t="n"/>
      <c r="J86" s="25">
        <f>IF($D86="","",N(G86)+N(H86)-N(I86))</f>
        <v/>
      </c>
      <c r="K86" s="24" t="n"/>
      <c r="L86" s="25">
        <f>IF($D86="","",N(J86)-N(K86))</f>
        <v/>
      </c>
    </row>
    <row r="87">
      <c r="A87" s="35" t="n"/>
      <c r="B87" s="9" t="n"/>
      <c r="C87" s="9" t="n"/>
      <c r="D87" s="9" t="n"/>
      <c r="E87" s="40" t="n"/>
      <c r="F87" s="25">
        <f>IF($D87="","",IFERROR(VLOOKUP($D87,'Products &amp; Pricing'!$A$14:$D$41,4,FALSE),""))</f>
        <v/>
      </c>
      <c r="G87" s="25">
        <f>IF($D87="","",N(E87)*N(F87))</f>
        <v/>
      </c>
      <c r="H87" s="24" t="n"/>
      <c r="I87" s="24" t="n"/>
      <c r="J87" s="25">
        <f>IF($D87="","",N(G87)+N(H87)-N(I87))</f>
        <v/>
      </c>
      <c r="K87" s="24" t="n"/>
      <c r="L87" s="25">
        <f>IF($D87="","",N(J87)-N(K87))</f>
        <v/>
      </c>
    </row>
    <row r="88">
      <c r="A88" s="35" t="n"/>
      <c r="B88" s="9" t="n"/>
      <c r="C88" s="9" t="n"/>
      <c r="D88" s="9" t="n"/>
      <c r="E88" s="40" t="n"/>
      <c r="F88" s="25">
        <f>IF($D88="","",IFERROR(VLOOKUP($D88,'Products &amp; Pricing'!$A$14:$D$41,4,FALSE),""))</f>
        <v/>
      </c>
      <c r="G88" s="25">
        <f>IF($D88="","",N(E88)*N(F88))</f>
        <v/>
      </c>
      <c r="H88" s="24" t="n"/>
      <c r="I88" s="24" t="n"/>
      <c r="J88" s="25">
        <f>IF($D88="","",N(G88)+N(H88)-N(I88))</f>
        <v/>
      </c>
      <c r="K88" s="24" t="n"/>
      <c r="L88" s="25">
        <f>IF($D88="","",N(J88)-N(K88))</f>
        <v/>
      </c>
    </row>
    <row r="89">
      <c r="A89" s="35" t="n"/>
      <c r="B89" s="9" t="n"/>
      <c r="C89" s="9" t="n"/>
      <c r="D89" s="9" t="n"/>
      <c r="E89" s="40" t="n"/>
      <c r="F89" s="25">
        <f>IF($D89="","",IFERROR(VLOOKUP($D89,'Products &amp; Pricing'!$A$14:$D$41,4,FALSE),""))</f>
        <v/>
      </c>
      <c r="G89" s="25">
        <f>IF($D89="","",N(E89)*N(F89))</f>
        <v/>
      </c>
      <c r="H89" s="24" t="n"/>
      <c r="I89" s="24" t="n"/>
      <c r="J89" s="25">
        <f>IF($D89="","",N(G89)+N(H89)-N(I89))</f>
        <v/>
      </c>
      <c r="K89" s="24" t="n"/>
      <c r="L89" s="25">
        <f>IF($D89="","",N(J89)-N(K89))</f>
        <v/>
      </c>
    </row>
    <row r="90">
      <c r="A90" s="35" t="n"/>
      <c r="B90" s="9" t="n"/>
      <c r="C90" s="9" t="n"/>
      <c r="D90" s="9" t="n"/>
      <c r="E90" s="40" t="n"/>
      <c r="F90" s="25">
        <f>IF($D90="","",IFERROR(VLOOKUP($D90,'Products &amp; Pricing'!$A$14:$D$41,4,FALSE),""))</f>
        <v/>
      </c>
      <c r="G90" s="25">
        <f>IF($D90="","",N(E90)*N(F90))</f>
        <v/>
      </c>
      <c r="H90" s="24" t="n"/>
      <c r="I90" s="24" t="n"/>
      <c r="J90" s="25">
        <f>IF($D90="","",N(G90)+N(H90)-N(I90))</f>
        <v/>
      </c>
      <c r="K90" s="24" t="n"/>
      <c r="L90" s="25">
        <f>IF($D90="","",N(J90)-N(K90))</f>
        <v/>
      </c>
    </row>
    <row r="91">
      <c r="A91" s="35" t="n"/>
      <c r="B91" s="9" t="n"/>
      <c r="C91" s="9" t="n"/>
      <c r="D91" s="9" t="n"/>
      <c r="E91" s="40" t="n"/>
      <c r="F91" s="25">
        <f>IF($D91="","",IFERROR(VLOOKUP($D91,'Products &amp; Pricing'!$A$14:$D$41,4,FALSE),""))</f>
        <v/>
      </c>
      <c r="G91" s="25">
        <f>IF($D91="","",N(E91)*N(F91))</f>
        <v/>
      </c>
      <c r="H91" s="24" t="n"/>
      <c r="I91" s="24" t="n"/>
      <c r="J91" s="25">
        <f>IF($D91="","",N(G91)+N(H91)-N(I91))</f>
        <v/>
      </c>
      <c r="K91" s="24" t="n"/>
      <c r="L91" s="25">
        <f>IF($D91="","",N(J91)-N(K91))</f>
        <v/>
      </c>
    </row>
    <row r="92">
      <c r="A92" s="35" t="n"/>
      <c r="B92" s="9" t="n"/>
      <c r="C92" s="9" t="n"/>
      <c r="D92" s="9" t="n"/>
      <c r="E92" s="40" t="n"/>
      <c r="F92" s="25">
        <f>IF($D92="","",IFERROR(VLOOKUP($D92,'Products &amp; Pricing'!$A$14:$D$41,4,FALSE),""))</f>
        <v/>
      </c>
      <c r="G92" s="25">
        <f>IF($D92="","",N(E92)*N(F92))</f>
        <v/>
      </c>
      <c r="H92" s="24" t="n"/>
      <c r="I92" s="24" t="n"/>
      <c r="J92" s="25">
        <f>IF($D92="","",N(G92)+N(H92)-N(I92))</f>
        <v/>
      </c>
      <c r="K92" s="24" t="n"/>
      <c r="L92" s="25">
        <f>IF($D92="","",N(J92)-N(K92))</f>
        <v/>
      </c>
    </row>
    <row r="93">
      <c r="A93" s="35" t="n"/>
      <c r="B93" s="9" t="n"/>
      <c r="C93" s="9" t="n"/>
      <c r="D93" s="9" t="n"/>
      <c r="E93" s="40" t="n"/>
      <c r="F93" s="25">
        <f>IF($D93="","",IFERROR(VLOOKUP($D93,'Products &amp; Pricing'!$A$14:$D$41,4,FALSE),""))</f>
        <v/>
      </c>
      <c r="G93" s="25">
        <f>IF($D93="","",N(E93)*N(F93))</f>
        <v/>
      </c>
      <c r="H93" s="24" t="n"/>
      <c r="I93" s="24" t="n"/>
      <c r="J93" s="25">
        <f>IF($D93="","",N(G93)+N(H93)-N(I93))</f>
        <v/>
      </c>
      <c r="K93" s="24" t="n"/>
      <c r="L93" s="25">
        <f>IF($D93="","",N(J93)-N(K93))</f>
        <v/>
      </c>
    </row>
    <row r="94">
      <c r="A94" s="35" t="n"/>
      <c r="B94" s="9" t="n"/>
      <c r="C94" s="9" t="n"/>
      <c r="D94" s="9" t="n"/>
      <c r="E94" s="40" t="n"/>
      <c r="F94" s="25">
        <f>IF($D94="","",IFERROR(VLOOKUP($D94,'Products &amp; Pricing'!$A$14:$D$41,4,FALSE),""))</f>
        <v/>
      </c>
      <c r="G94" s="25">
        <f>IF($D94="","",N(E94)*N(F94))</f>
        <v/>
      </c>
      <c r="H94" s="24" t="n"/>
      <c r="I94" s="24" t="n"/>
      <c r="J94" s="25">
        <f>IF($D94="","",N(G94)+N(H94)-N(I94))</f>
        <v/>
      </c>
      <c r="K94" s="24" t="n"/>
      <c r="L94" s="25">
        <f>IF($D94="","",N(J94)-N(K94))</f>
        <v/>
      </c>
    </row>
    <row r="95">
      <c r="A95" s="35" t="n"/>
      <c r="B95" s="9" t="n"/>
      <c r="C95" s="9" t="n"/>
      <c r="D95" s="9" t="n"/>
      <c r="E95" s="40" t="n"/>
      <c r="F95" s="25">
        <f>IF($D95="","",IFERROR(VLOOKUP($D95,'Products &amp; Pricing'!$A$14:$D$41,4,FALSE),""))</f>
        <v/>
      </c>
      <c r="G95" s="25">
        <f>IF($D95="","",N(E95)*N(F95))</f>
        <v/>
      </c>
      <c r="H95" s="24" t="n"/>
      <c r="I95" s="24" t="n"/>
      <c r="J95" s="25">
        <f>IF($D95="","",N(G95)+N(H95)-N(I95))</f>
        <v/>
      </c>
      <c r="K95" s="24" t="n"/>
      <c r="L95" s="25">
        <f>IF($D95="","",N(J95)-N(K95))</f>
        <v/>
      </c>
    </row>
    <row r="96">
      <c r="A96" s="35" t="n"/>
      <c r="B96" s="9" t="n"/>
      <c r="C96" s="9" t="n"/>
      <c r="D96" s="9" t="n"/>
      <c r="E96" s="40" t="n"/>
      <c r="F96" s="25">
        <f>IF($D96="","",IFERROR(VLOOKUP($D96,'Products &amp; Pricing'!$A$14:$D$41,4,FALSE),""))</f>
        <v/>
      </c>
      <c r="G96" s="25">
        <f>IF($D96="","",N(E96)*N(F96))</f>
        <v/>
      </c>
      <c r="H96" s="24" t="n"/>
      <c r="I96" s="24" t="n"/>
      <c r="J96" s="25">
        <f>IF($D96="","",N(G96)+N(H96)-N(I96))</f>
        <v/>
      </c>
      <c r="K96" s="24" t="n"/>
      <c r="L96" s="25">
        <f>IF($D96="","",N(J96)-N(K96))</f>
        <v/>
      </c>
    </row>
    <row r="97">
      <c r="A97" s="35" t="n"/>
      <c r="B97" s="9" t="n"/>
      <c r="C97" s="9" t="n"/>
      <c r="D97" s="9" t="n"/>
      <c r="E97" s="40" t="n"/>
      <c r="F97" s="25">
        <f>IF($D97="","",IFERROR(VLOOKUP($D97,'Products &amp; Pricing'!$A$14:$D$41,4,FALSE),""))</f>
        <v/>
      </c>
      <c r="G97" s="25">
        <f>IF($D97="","",N(E97)*N(F97))</f>
        <v/>
      </c>
      <c r="H97" s="24" t="n"/>
      <c r="I97" s="24" t="n"/>
      <c r="J97" s="25">
        <f>IF($D97="","",N(G97)+N(H97)-N(I97))</f>
        <v/>
      </c>
      <c r="K97" s="24" t="n"/>
      <c r="L97" s="25">
        <f>IF($D97="","",N(J97)-N(K97))</f>
        <v/>
      </c>
    </row>
    <row r="98">
      <c r="A98" s="35" t="n"/>
      <c r="B98" s="9" t="n"/>
      <c r="C98" s="9" t="n"/>
      <c r="D98" s="9" t="n"/>
      <c r="E98" s="40" t="n"/>
      <c r="F98" s="25">
        <f>IF($D98="","",IFERROR(VLOOKUP($D98,'Products &amp; Pricing'!$A$14:$D$41,4,FALSE),""))</f>
        <v/>
      </c>
      <c r="G98" s="25">
        <f>IF($D98="","",N(E98)*N(F98))</f>
        <v/>
      </c>
      <c r="H98" s="24" t="n"/>
      <c r="I98" s="24" t="n"/>
      <c r="J98" s="25">
        <f>IF($D98="","",N(G98)+N(H98)-N(I98))</f>
        <v/>
      </c>
      <c r="K98" s="24" t="n"/>
      <c r="L98" s="25">
        <f>IF($D98="","",N(J98)-N(K98))</f>
        <v/>
      </c>
    </row>
    <row r="99">
      <c r="A99" s="35" t="n"/>
      <c r="B99" s="9" t="n"/>
      <c r="C99" s="9" t="n"/>
      <c r="D99" s="9" t="n"/>
      <c r="E99" s="40" t="n"/>
      <c r="F99" s="25">
        <f>IF($D99="","",IFERROR(VLOOKUP($D99,'Products &amp; Pricing'!$A$14:$D$41,4,FALSE),""))</f>
        <v/>
      </c>
      <c r="G99" s="25">
        <f>IF($D99="","",N(E99)*N(F99))</f>
        <v/>
      </c>
      <c r="H99" s="24" t="n"/>
      <c r="I99" s="24" t="n"/>
      <c r="J99" s="25">
        <f>IF($D99="","",N(G99)+N(H99)-N(I99))</f>
        <v/>
      </c>
      <c r="K99" s="24" t="n"/>
      <c r="L99" s="25">
        <f>IF($D99="","",N(J99)-N(K99))</f>
        <v/>
      </c>
    </row>
    <row r="100">
      <c r="A100" s="35" t="n"/>
      <c r="B100" s="9" t="n"/>
      <c r="C100" s="9" t="n"/>
      <c r="D100" s="9" t="n"/>
      <c r="E100" s="40" t="n"/>
      <c r="F100" s="25">
        <f>IF($D100="","",IFERROR(VLOOKUP($D100,'Products &amp; Pricing'!$A$14:$D$41,4,FALSE),""))</f>
        <v/>
      </c>
      <c r="G100" s="25">
        <f>IF($D100="","",N(E100)*N(F100))</f>
        <v/>
      </c>
      <c r="H100" s="24" t="n"/>
      <c r="I100" s="24" t="n"/>
      <c r="J100" s="25">
        <f>IF($D100="","",N(G100)+N(H100)-N(I100))</f>
        <v/>
      </c>
      <c r="K100" s="24" t="n"/>
      <c r="L100" s="25">
        <f>IF($D100="","",N(J100)-N(K100))</f>
        <v/>
      </c>
    </row>
    <row r="101">
      <c r="A101" s="35" t="n"/>
      <c r="B101" s="9" t="n"/>
      <c r="C101" s="9" t="n"/>
      <c r="D101" s="9" t="n"/>
      <c r="E101" s="40" t="n"/>
      <c r="F101" s="25">
        <f>IF($D101="","",IFERROR(VLOOKUP($D101,'Products &amp; Pricing'!$A$14:$D$41,4,FALSE),""))</f>
        <v/>
      </c>
      <c r="G101" s="25">
        <f>IF($D101="","",N(E101)*N(F101))</f>
        <v/>
      </c>
      <c r="H101" s="24" t="n"/>
      <c r="I101" s="24" t="n"/>
      <c r="J101" s="25">
        <f>IF($D101="","",N(G101)+N(H101)-N(I101))</f>
        <v/>
      </c>
      <c r="K101" s="24" t="n"/>
      <c r="L101" s="25">
        <f>IF($D101="","",N(J101)-N(K101))</f>
        <v/>
      </c>
    </row>
    <row r="102">
      <c r="A102" s="35" t="n"/>
      <c r="B102" s="9" t="n"/>
      <c r="C102" s="9" t="n"/>
      <c r="D102" s="9" t="n"/>
      <c r="E102" s="40" t="n"/>
      <c r="F102" s="25">
        <f>IF($D102="","",IFERROR(VLOOKUP($D102,'Products &amp; Pricing'!$A$14:$D$41,4,FALSE),""))</f>
        <v/>
      </c>
      <c r="G102" s="25">
        <f>IF($D102="","",N(E102)*N(F102))</f>
        <v/>
      </c>
      <c r="H102" s="24" t="n"/>
      <c r="I102" s="24" t="n"/>
      <c r="J102" s="25">
        <f>IF($D102="","",N(G102)+N(H102)-N(I102))</f>
        <v/>
      </c>
      <c r="K102" s="24" t="n"/>
      <c r="L102" s="25">
        <f>IF($D102="","",N(J102)-N(K102))</f>
        <v/>
      </c>
    </row>
    <row r="103">
      <c r="A103" s="35" t="n"/>
      <c r="B103" s="9" t="n"/>
      <c r="C103" s="9" t="n"/>
      <c r="D103" s="9" t="n"/>
      <c r="E103" s="40" t="n"/>
      <c r="F103" s="25">
        <f>IF($D103="","",IFERROR(VLOOKUP($D103,'Products &amp; Pricing'!$A$14:$D$41,4,FALSE),""))</f>
        <v/>
      </c>
      <c r="G103" s="25">
        <f>IF($D103="","",N(E103)*N(F103))</f>
        <v/>
      </c>
      <c r="H103" s="24" t="n"/>
      <c r="I103" s="24" t="n"/>
      <c r="J103" s="25">
        <f>IF($D103="","",N(G103)+N(H103)-N(I103))</f>
        <v/>
      </c>
      <c r="K103" s="24" t="n"/>
      <c r="L103" s="25">
        <f>IF($D103="","",N(J103)-N(K103))</f>
        <v/>
      </c>
    </row>
    <row r="104">
      <c r="A104" s="35" t="n"/>
      <c r="B104" s="9" t="n"/>
      <c r="C104" s="9" t="n"/>
      <c r="D104" s="9" t="n"/>
      <c r="E104" s="40" t="n"/>
      <c r="F104" s="25">
        <f>IF($D104="","",IFERROR(VLOOKUP($D104,'Products &amp; Pricing'!$A$14:$D$41,4,FALSE),""))</f>
        <v/>
      </c>
      <c r="G104" s="25">
        <f>IF($D104="","",N(E104)*N(F104))</f>
        <v/>
      </c>
      <c r="H104" s="24" t="n"/>
      <c r="I104" s="24" t="n"/>
      <c r="J104" s="25">
        <f>IF($D104="","",N(G104)+N(H104)-N(I104))</f>
        <v/>
      </c>
      <c r="K104" s="24" t="n"/>
      <c r="L104" s="25">
        <f>IF($D104="","",N(J104)-N(K104))</f>
        <v/>
      </c>
    </row>
    <row r="105">
      <c r="A105" s="35" t="n"/>
      <c r="B105" s="9" t="n"/>
      <c r="C105" s="9" t="n"/>
      <c r="D105" s="9" t="n"/>
      <c r="E105" s="40" t="n"/>
      <c r="F105" s="25">
        <f>IF($D105="","",IFERROR(VLOOKUP($D105,'Products &amp; Pricing'!$A$14:$D$41,4,FALSE),""))</f>
        <v/>
      </c>
      <c r="G105" s="25">
        <f>IF($D105="","",N(E105)*N(F105))</f>
        <v/>
      </c>
      <c r="H105" s="24" t="n"/>
      <c r="I105" s="24" t="n"/>
      <c r="J105" s="25">
        <f>IF($D105="","",N(G105)+N(H105)-N(I105))</f>
        <v/>
      </c>
      <c r="K105" s="24" t="n"/>
      <c r="L105" s="25">
        <f>IF($D105="","",N(J105)-N(K105))</f>
        <v/>
      </c>
    </row>
    <row r="106">
      <c r="A106" s="35" t="n"/>
      <c r="B106" s="9" t="n"/>
      <c r="C106" s="9" t="n"/>
      <c r="D106" s="9" t="n"/>
      <c r="E106" s="40" t="n"/>
      <c r="F106" s="25">
        <f>IF($D106="","",IFERROR(VLOOKUP($D106,'Products &amp; Pricing'!$A$14:$D$41,4,FALSE),""))</f>
        <v/>
      </c>
      <c r="G106" s="25">
        <f>IF($D106="","",N(E106)*N(F106))</f>
        <v/>
      </c>
      <c r="H106" s="24" t="n"/>
      <c r="I106" s="24" t="n"/>
      <c r="J106" s="25">
        <f>IF($D106="","",N(G106)+N(H106)-N(I106))</f>
        <v/>
      </c>
      <c r="K106" s="24" t="n"/>
      <c r="L106" s="25">
        <f>IF($D106="","",N(J106)-N(K106))</f>
        <v/>
      </c>
    </row>
    <row r="107">
      <c r="A107" s="35" t="n"/>
      <c r="B107" s="9" t="n"/>
      <c r="C107" s="9" t="n"/>
      <c r="D107" s="9" t="n"/>
      <c r="E107" s="40" t="n"/>
      <c r="F107" s="25">
        <f>IF($D107="","",IFERROR(VLOOKUP($D107,'Products &amp; Pricing'!$A$14:$D$41,4,FALSE),""))</f>
        <v/>
      </c>
      <c r="G107" s="25">
        <f>IF($D107="","",N(E107)*N(F107))</f>
        <v/>
      </c>
      <c r="H107" s="24" t="n"/>
      <c r="I107" s="24" t="n"/>
      <c r="J107" s="25">
        <f>IF($D107="","",N(G107)+N(H107)-N(I107))</f>
        <v/>
      </c>
      <c r="K107" s="24" t="n"/>
      <c r="L107" s="25">
        <f>IF($D107="","",N(J107)-N(K107))</f>
        <v/>
      </c>
    </row>
    <row r="108">
      <c r="A108" s="35" t="n"/>
      <c r="B108" s="9" t="n"/>
      <c r="C108" s="9" t="n"/>
      <c r="D108" s="9" t="n"/>
      <c r="E108" s="40" t="n"/>
      <c r="F108" s="25">
        <f>IF($D108="","",IFERROR(VLOOKUP($D108,'Products &amp; Pricing'!$A$14:$D$41,4,FALSE),""))</f>
        <v/>
      </c>
      <c r="G108" s="25">
        <f>IF($D108="","",N(E108)*N(F108))</f>
        <v/>
      </c>
      <c r="H108" s="24" t="n"/>
      <c r="I108" s="24" t="n"/>
      <c r="J108" s="25">
        <f>IF($D108="","",N(G108)+N(H108)-N(I108))</f>
        <v/>
      </c>
      <c r="K108" s="24" t="n"/>
      <c r="L108" s="25">
        <f>IF($D108="","",N(J108)-N(K108))</f>
        <v/>
      </c>
    </row>
    <row r="109">
      <c r="A109" s="35" t="n"/>
      <c r="B109" s="9" t="n"/>
      <c r="C109" s="9" t="n"/>
      <c r="D109" s="9" t="n"/>
      <c r="E109" s="40" t="n"/>
      <c r="F109" s="25">
        <f>IF($D109="","",IFERROR(VLOOKUP($D109,'Products &amp; Pricing'!$A$14:$D$41,4,FALSE),""))</f>
        <v/>
      </c>
      <c r="G109" s="25">
        <f>IF($D109="","",N(E109)*N(F109))</f>
        <v/>
      </c>
      <c r="H109" s="24" t="n"/>
      <c r="I109" s="24" t="n"/>
      <c r="J109" s="25">
        <f>IF($D109="","",N(G109)+N(H109)-N(I109))</f>
        <v/>
      </c>
      <c r="K109" s="24" t="n"/>
      <c r="L109" s="25">
        <f>IF($D109="","",N(J109)-N(K109))</f>
        <v/>
      </c>
    </row>
    <row r="110">
      <c r="A110" s="35" t="n"/>
      <c r="B110" s="9" t="n"/>
      <c r="C110" s="9" t="n"/>
      <c r="D110" s="9" t="n"/>
      <c r="E110" s="40" t="n"/>
      <c r="F110" s="25">
        <f>IF($D110="","",IFERROR(VLOOKUP($D110,'Products &amp; Pricing'!$A$14:$D$41,4,FALSE),""))</f>
        <v/>
      </c>
      <c r="G110" s="25">
        <f>IF($D110="","",N(E110)*N(F110))</f>
        <v/>
      </c>
      <c r="H110" s="24" t="n"/>
      <c r="I110" s="24" t="n"/>
      <c r="J110" s="25">
        <f>IF($D110="","",N(G110)+N(H110)-N(I110))</f>
        <v/>
      </c>
      <c r="K110" s="24" t="n"/>
      <c r="L110" s="25">
        <f>IF($D110="","",N(J110)-N(K110))</f>
        <v/>
      </c>
    </row>
    <row r="111">
      <c r="A111" s="35" t="n"/>
      <c r="B111" s="9" t="n"/>
      <c r="C111" s="9" t="n"/>
      <c r="D111" s="9" t="n"/>
      <c r="E111" s="40" t="n"/>
      <c r="F111" s="25">
        <f>IF($D111="","",IFERROR(VLOOKUP($D111,'Products &amp; Pricing'!$A$14:$D$41,4,FALSE),""))</f>
        <v/>
      </c>
      <c r="G111" s="25">
        <f>IF($D111="","",N(E111)*N(F111))</f>
        <v/>
      </c>
      <c r="H111" s="24" t="n"/>
      <c r="I111" s="24" t="n"/>
      <c r="J111" s="25">
        <f>IF($D111="","",N(G111)+N(H111)-N(I111))</f>
        <v/>
      </c>
      <c r="K111" s="24" t="n"/>
      <c r="L111" s="25">
        <f>IF($D111="","",N(J111)-N(K111))</f>
        <v/>
      </c>
    </row>
    <row r="112">
      <c r="A112" s="35" t="n"/>
      <c r="B112" s="9" t="n"/>
      <c r="C112" s="9" t="n"/>
      <c r="D112" s="9" t="n"/>
      <c r="E112" s="40" t="n"/>
      <c r="F112" s="25">
        <f>IF($D112="","",IFERROR(VLOOKUP($D112,'Products &amp; Pricing'!$A$14:$D$41,4,FALSE),""))</f>
        <v/>
      </c>
      <c r="G112" s="25">
        <f>IF($D112="","",N(E112)*N(F112))</f>
        <v/>
      </c>
      <c r="H112" s="24" t="n"/>
      <c r="I112" s="24" t="n"/>
      <c r="J112" s="25">
        <f>IF($D112="","",N(G112)+N(H112)-N(I112))</f>
        <v/>
      </c>
      <c r="K112" s="24" t="n"/>
      <c r="L112" s="25">
        <f>IF($D112="","",N(J112)-N(K112))</f>
        <v/>
      </c>
    </row>
    <row r="113">
      <c r="A113" s="35" t="n"/>
      <c r="B113" s="9" t="n"/>
      <c r="C113" s="9" t="n"/>
      <c r="D113" s="9" t="n"/>
      <c r="E113" s="40" t="n"/>
      <c r="F113" s="25">
        <f>IF($D113="","",IFERROR(VLOOKUP($D113,'Products &amp; Pricing'!$A$14:$D$41,4,FALSE),""))</f>
        <v/>
      </c>
      <c r="G113" s="25">
        <f>IF($D113="","",N(E113)*N(F113))</f>
        <v/>
      </c>
      <c r="H113" s="24" t="n"/>
      <c r="I113" s="24" t="n"/>
      <c r="J113" s="25">
        <f>IF($D113="","",N(G113)+N(H113)-N(I113))</f>
        <v/>
      </c>
      <c r="K113" s="24" t="n"/>
      <c r="L113" s="25">
        <f>IF($D113="","",N(J113)-N(K113))</f>
        <v/>
      </c>
    </row>
    <row r="114">
      <c r="A114" s="35" t="n"/>
      <c r="B114" s="9" t="n"/>
      <c r="C114" s="9" t="n"/>
      <c r="D114" s="9" t="n"/>
      <c r="E114" s="40" t="n"/>
      <c r="F114" s="25">
        <f>IF($D114="","",IFERROR(VLOOKUP($D114,'Products &amp; Pricing'!$A$14:$D$41,4,FALSE),""))</f>
        <v/>
      </c>
      <c r="G114" s="25">
        <f>IF($D114="","",N(E114)*N(F114))</f>
        <v/>
      </c>
      <c r="H114" s="24" t="n"/>
      <c r="I114" s="24" t="n"/>
      <c r="J114" s="25">
        <f>IF($D114="","",N(G114)+N(H114)-N(I114))</f>
        <v/>
      </c>
      <c r="K114" s="24" t="n"/>
      <c r="L114" s="25">
        <f>IF($D114="","",N(J114)-N(K114))</f>
        <v/>
      </c>
    </row>
    <row r="115">
      <c r="A115" s="35" t="n"/>
      <c r="B115" s="9" t="n"/>
      <c r="C115" s="9" t="n"/>
      <c r="D115" s="9" t="n"/>
      <c r="E115" s="40" t="n"/>
      <c r="F115" s="25">
        <f>IF($D115="","",IFERROR(VLOOKUP($D115,'Products &amp; Pricing'!$A$14:$D$41,4,FALSE),""))</f>
        <v/>
      </c>
      <c r="G115" s="25">
        <f>IF($D115="","",N(E115)*N(F115))</f>
        <v/>
      </c>
      <c r="H115" s="24" t="n"/>
      <c r="I115" s="24" t="n"/>
      <c r="J115" s="25">
        <f>IF($D115="","",N(G115)+N(H115)-N(I115))</f>
        <v/>
      </c>
      <c r="K115" s="24" t="n"/>
      <c r="L115" s="25">
        <f>IF($D115="","",N(J115)-N(K115))</f>
        <v/>
      </c>
    </row>
    <row r="116">
      <c r="A116" s="35" t="n"/>
      <c r="B116" s="9" t="n"/>
      <c r="C116" s="9" t="n"/>
      <c r="D116" s="9" t="n"/>
      <c r="E116" s="40" t="n"/>
      <c r="F116" s="25">
        <f>IF($D116="","",IFERROR(VLOOKUP($D116,'Products &amp; Pricing'!$A$14:$D$41,4,FALSE),""))</f>
        <v/>
      </c>
      <c r="G116" s="25">
        <f>IF($D116="","",N(E116)*N(F116))</f>
        <v/>
      </c>
      <c r="H116" s="24" t="n"/>
      <c r="I116" s="24" t="n"/>
      <c r="J116" s="25">
        <f>IF($D116="","",N(G116)+N(H116)-N(I116))</f>
        <v/>
      </c>
      <c r="K116" s="24" t="n"/>
      <c r="L116" s="25">
        <f>IF($D116="","",N(J116)-N(K116))</f>
        <v/>
      </c>
    </row>
    <row r="117">
      <c r="A117" s="35" t="n"/>
      <c r="B117" s="9" t="n"/>
      <c r="C117" s="9" t="n"/>
      <c r="D117" s="9" t="n"/>
      <c r="E117" s="40" t="n"/>
      <c r="F117" s="25">
        <f>IF($D117="","",IFERROR(VLOOKUP($D117,'Products &amp; Pricing'!$A$14:$D$41,4,FALSE),""))</f>
        <v/>
      </c>
      <c r="G117" s="25">
        <f>IF($D117="","",N(E117)*N(F117))</f>
        <v/>
      </c>
      <c r="H117" s="24" t="n"/>
      <c r="I117" s="24" t="n"/>
      <c r="J117" s="25">
        <f>IF($D117="","",N(G117)+N(H117)-N(I117))</f>
        <v/>
      </c>
      <c r="K117" s="24" t="n"/>
      <c r="L117" s="25">
        <f>IF($D117="","",N(J117)-N(K117))</f>
        <v/>
      </c>
    </row>
    <row r="118">
      <c r="A118" s="35" t="n"/>
      <c r="B118" s="9" t="n"/>
      <c r="C118" s="9" t="n"/>
      <c r="D118" s="9" t="n"/>
      <c r="E118" s="40" t="n"/>
      <c r="F118" s="25">
        <f>IF($D118="","",IFERROR(VLOOKUP($D118,'Products &amp; Pricing'!$A$14:$D$41,4,FALSE),""))</f>
        <v/>
      </c>
      <c r="G118" s="25">
        <f>IF($D118="","",N(E118)*N(F118))</f>
        <v/>
      </c>
      <c r="H118" s="24" t="n"/>
      <c r="I118" s="24" t="n"/>
      <c r="J118" s="25">
        <f>IF($D118="","",N(G118)+N(H118)-N(I118))</f>
        <v/>
      </c>
      <c r="K118" s="24" t="n"/>
      <c r="L118" s="25">
        <f>IF($D118="","",N(J118)-N(K118))</f>
        <v/>
      </c>
    </row>
    <row r="119">
      <c r="A119" s="35" t="n"/>
      <c r="B119" s="9" t="n"/>
      <c r="C119" s="9" t="n"/>
      <c r="D119" s="9" t="n"/>
      <c r="E119" s="40" t="n"/>
      <c r="F119" s="25">
        <f>IF($D119="","",IFERROR(VLOOKUP($D119,'Products &amp; Pricing'!$A$14:$D$41,4,FALSE),""))</f>
        <v/>
      </c>
      <c r="G119" s="25">
        <f>IF($D119="","",N(E119)*N(F119))</f>
        <v/>
      </c>
      <c r="H119" s="24" t="n"/>
      <c r="I119" s="24" t="n"/>
      <c r="J119" s="25">
        <f>IF($D119="","",N(G119)+N(H119)-N(I119))</f>
        <v/>
      </c>
      <c r="K119" s="24" t="n"/>
      <c r="L119" s="25">
        <f>IF($D119="","",N(J119)-N(K119))</f>
        <v/>
      </c>
    </row>
    <row r="120">
      <c r="A120" s="35" t="n"/>
      <c r="B120" s="9" t="n"/>
      <c r="C120" s="9" t="n"/>
      <c r="D120" s="9" t="n"/>
      <c r="E120" s="40" t="n"/>
      <c r="F120" s="25">
        <f>IF($D120="","",IFERROR(VLOOKUP($D120,'Products &amp; Pricing'!$A$14:$D$41,4,FALSE),""))</f>
        <v/>
      </c>
      <c r="G120" s="25">
        <f>IF($D120="","",N(E120)*N(F120))</f>
        <v/>
      </c>
      <c r="H120" s="24" t="n"/>
      <c r="I120" s="24" t="n"/>
      <c r="J120" s="25">
        <f>IF($D120="","",N(G120)+N(H120)-N(I120))</f>
        <v/>
      </c>
      <c r="K120" s="24" t="n"/>
      <c r="L120" s="25">
        <f>IF($D120="","",N(J120)-N(K120))</f>
        <v/>
      </c>
    </row>
    <row r="121">
      <c r="A121" s="35" t="n"/>
      <c r="B121" s="9" t="n"/>
      <c r="C121" s="9" t="n"/>
      <c r="D121" s="9" t="n"/>
      <c r="E121" s="40" t="n"/>
      <c r="F121" s="25">
        <f>IF($D121="","",IFERROR(VLOOKUP($D121,'Products &amp; Pricing'!$A$14:$D$41,4,FALSE),""))</f>
        <v/>
      </c>
      <c r="G121" s="25">
        <f>IF($D121="","",N(E121)*N(F121))</f>
        <v/>
      </c>
      <c r="H121" s="24" t="n"/>
      <c r="I121" s="24" t="n"/>
      <c r="J121" s="25">
        <f>IF($D121="","",N(G121)+N(H121)-N(I121))</f>
        <v/>
      </c>
      <c r="K121" s="24" t="n"/>
      <c r="L121" s="25">
        <f>IF($D121="","",N(J121)-N(K121))</f>
        <v/>
      </c>
    </row>
    <row r="122">
      <c r="A122" s="35" t="n"/>
      <c r="B122" s="9" t="n"/>
      <c r="C122" s="9" t="n"/>
      <c r="D122" s="9" t="n"/>
      <c r="E122" s="40" t="n"/>
      <c r="F122" s="25">
        <f>IF($D122="","",IFERROR(VLOOKUP($D122,'Products &amp; Pricing'!$A$14:$D$41,4,FALSE),""))</f>
        <v/>
      </c>
      <c r="G122" s="25">
        <f>IF($D122="","",N(E122)*N(F122))</f>
        <v/>
      </c>
      <c r="H122" s="24" t="n"/>
      <c r="I122" s="24" t="n"/>
      <c r="J122" s="25">
        <f>IF($D122="","",N(G122)+N(H122)-N(I122))</f>
        <v/>
      </c>
      <c r="K122" s="24" t="n"/>
      <c r="L122" s="25">
        <f>IF($D122="","",N(J122)-N(K122))</f>
        <v/>
      </c>
    </row>
    <row r="123">
      <c r="A123" s="35" t="n"/>
      <c r="B123" s="9" t="n"/>
      <c r="C123" s="9" t="n"/>
      <c r="D123" s="9" t="n"/>
      <c r="E123" s="40" t="n"/>
      <c r="F123" s="25">
        <f>IF($D123="","",IFERROR(VLOOKUP($D123,'Products &amp; Pricing'!$A$14:$D$41,4,FALSE),""))</f>
        <v/>
      </c>
      <c r="G123" s="25">
        <f>IF($D123="","",N(E123)*N(F123))</f>
        <v/>
      </c>
      <c r="H123" s="24" t="n"/>
      <c r="I123" s="24" t="n"/>
      <c r="J123" s="25">
        <f>IF($D123="","",N(G123)+N(H123)-N(I123))</f>
        <v/>
      </c>
      <c r="K123" s="24" t="n"/>
      <c r="L123" s="25">
        <f>IF($D123="","",N(J123)-N(K123))</f>
        <v/>
      </c>
    </row>
    <row r="124">
      <c r="A124" s="35" t="n"/>
      <c r="B124" s="9" t="n"/>
      <c r="C124" s="9" t="n"/>
      <c r="D124" s="9" t="n"/>
      <c r="E124" s="40" t="n"/>
      <c r="F124" s="25">
        <f>IF($D124="","",IFERROR(VLOOKUP($D124,'Products &amp; Pricing'!$A$14:$D$41,4,FALSE),""))</f>
        <v/>
      </c>
      <c r="G124" s="25">
        <f>IF($D124="","",N(E124)*N(F124))</f>
        <v/>
      </c>
      <c r="H124" s="24" t="n"/>
      <c r="I124" s="24" t="n"/>
      <c r="J124" s="25">
        <f>IF($D124="","",N(G124)+N(H124)-N(I124))</f>
        <v/>
      </c>
      <c r="K124" s="24" t="n"/>
      <c r="L124" s="25">
        <f>IF($D124="","",N(J124)-N(K124))</f>
        <v/>
      </c>
    </row>
    <row r="125">
      <c r="A125" s="35" t="n"/>
      <c r="B125" s="9" t="n"/>
      <c r="C125" s="9" t="n"/>
      <c r="D125" s="9" t="n"/>
      <c r="E125" s="40" t="n"/>
      <c r="F125" s="25">
        <f>IF($D125="","",IFERROR(VLOOKUP($D125,'Products &amp; Pricing'!$A$14:$D$41,4,FALSE),""))</f>
        <v/>
      </c>
      <c r="G125" s="25">
        <f>IF($D125="","",N(E125)*N(F125))</f>
        <v/>
      </c>
      <c r="H125" s="24" t="n"/>
      <c r="I125" s="24" t="n"/>
      <c r="J125" s="25">
        <f>IF($D125="","",N(G125)+N(H125)-N(I125))</f>
        <v/>
      </c>
      <c r="K125" s="24" t="n"/>
      <c r="L125" s="25">
        <f>IF($D125="","",N(J125)-N(K125))</f>
        <v/>
      </c>
    </row>
    <row r="126">
      <c r="A126" s="35" t="n"/>
      <c r="B126" s="9" t="n"/>
      <c r="C126" s="9" t="n"/>
      <c r="D126" s="9" t="n"/>
      <c r="E126" s="40" t="n"/>
      <c r="F126" s="25">
        <f>IF($D126="","",IFERROR(VLOOKUP($D126,'Products &amp; Pricing'!$A$14:$D$41,4,FALSE),""))</f>
        <v/>
      </c>
      <c r="G126" s="25">
        <f>IF($D126="","",N(E126)*N(F126))</f>
        <v/>
      </c>
      <c r="H126" s="24" t="n"/>
      <c r="I126" s="24" t="n"/>
      <c r="J126" s="25">
        <f>IF($D126="","",N(G126)+N(H126)-N(I126))</f>
        <v/>
      </c>
      <c r="K126" s="24" t="n"/>
      <c r="L126" s="25">
        <f>IF($D126="","",N(J126)-N(K126))</f>
        <v/>
      </c>
    </row>
    <row r="127">
      <c r="A127" s="35" t="n"/>
      <c r="B127" s="9" t="n"/>
      <c r="C127" s="9" t="n"/>
      <c r="D127" s="9" t="n"/>
      <c r="E127" s="40" t="n"/>
      <c r="F127" s="25">
        <f>IF($D127="","",IFERROR(VLOOKUP($D127,'Products &amp; Pricing'!$A$14:$D$41,4,FALSE),""))</f>
        <v/>
      </c>
      <c r="G127" s="25">
        <f>IF($D127="","",N(E127)*N(F127))</f>
        <v/>
      </c>
      <c r="H127" s="24" t="n"/>
      <c r="I127" s="24" t="n"/>
      <c r="J127" s="25">
        <f>IF($D127="","",N(G127)+N(H127)-N(I127))</f>
        <v/>
      </c>
      <c r="K127" s="24" t="n"/>
      <c r="L127" s="25">
        <f>IF($D127="","",N(J127)-N(K127))</f>
        <v/>
      </c>
    </row>
    <row r="128">
      <c r="A128" s="35" t="n"/>
      <c r="B128" s="9" t="n"/>
      <c r="C128" s="9" t="n"/>
      <c r="D128" s="9" t="n"/>
      <c r="E128" s="40" t="n"/>
      <c r="F128" s="25">
        <f>IF($D128="","",IFERROR(VLOOKUP($D128,'Products &amp; Pricing'!$A$14:$D$41,4,FALSE),""))</f>
        <v/>
      </c>
      <c r="G128" s="25">
        <f>IF($D128="","",N(E128)*N(F128))</f>
        <v/>
      </c>
      <c r="H128" s="24" t="n"/>
      <c r="I128" s="24" t="n"/>
      <c r="J128" s="25">
        <f>IF($D128="","",N(G128)+N(H128)-N(I128))</f>
        <v/>
      </c>
      <c r="K128" s="24" t="n"/>
      <c r="L128" s="25">
        <f>IF($D128="","",N(J128)-N(K128))</f>
        <v/>
      </c>
    </row>
    <row r="129">
      <c r="A129" s="35" t="n"/>
      <c r="B129" s="9" t="n"/>
      <c r="C129" s="9" t="n"/>
      <c r="D129" s="9" t="n"/>
      <c r="E129" s="40" t="n"/>
      <c r="F129" s="25">
        <f>IF($D129="","",IFERROR(VLOOKUP($D129,'Products &amp; Pricing'!$A$14:$D$41,4,FALSE),""))</f>
        <v/>
      </c>
      <c r="G129" s="25">
        <f>IF($D129="","",N(E129)*N(F129))</f>
        <v/>
      </c>
      <c r="H129" s="24" t="n"/>
      <c r="I129" s="24" t="n"/>
      <c r="J129" s="25">
        <f>IF($D129="","",N(G129)+N(H129)-N(I129))</f>
        <v/>
      </c>
      <c r="K129" s="24" t="n"/>
      <c r="L129" s="25">
        <f>IF($D129="","",N(J129)-N(K129))</f>
        <v/>
      </c>
    </row>
    <row r="130">
      <c r="A130" s="35" t="n"/>
      <c r="B130" s="9" t="n"/>
      <c r="C130" s="9" t="n"/>
      <c r="D130" s="9" t="n"/>
      <c r="E130" s="40" t="n"/>
      <c r="F130" s="25">
        <f>IF($D130="","",IFERROR(VLOOKUP($D130,'Products &amp; Pricing'!$A$14:$D$41,4,FALSE),""))</f>
        <v/>
      </c>
      <c r="G130" s="25">
        <f>IF($D130="","",N(E130)*N(F130))</f>
        <v/>
      </c>
      <c r="H130" s="24" t="n"/>
      <c r="I130" s="24" t="n"/>
      <c r="J130" s="25">
        <f>IF($D130="","",N(G130)+N(H130)-N(I130))</f>
        <v/>
      </c>
      <c r="K130" s="24" t="n"/>
      <c r="L130" s="25">
        <f>IF($D130="","",N(J130)-N(K130))</f>
        <v/>
      </c>
    </row>
    <row r="131">
      <c r="A131" s="35" t="n"/>
      <c r="B131" s="9" t="n"/>
      <c r="C131" s="9" t="n"/>
      <c r="D131" s="9" t="n"/>
      <c r="E131" s="40" t="n"/>
      <c r="F131" s="25">
        <f>IF($D131="","",IFERROR(VLOOKUP($D131,'Products &amp; Pricing'!$A$14:$D$41,4,FALSE),""))</f>
        <v/>
      </c>
      <c r="G131" s="25">
        <f>IF($D131="","",N(E131)*N(F131))</f>
        <v/>
      </c>
      <c r="H131" s="24" t="n"/>
      <c r="I131" s="24" t="n"/>
      <c r="J131" s="25">
        <f>IF($D131="","",N(G131)+N(H131)-N(I131))</f>
        <v/>
      </c>
      <c r="K131" s="24" t="n"/>
      <c r="L131" s="25">
        <f>IF($D131="","",N(J131)-N(K131))</f>
        <v/>
      </c>
    </row>
    <row r="132">
      <c r="A132" s="35" t="n"/>
      <c r="B132" s="9" t="n"/>
      <c r="C132" s="9" t="n"/>
      <c r="D132" s="9" t="n"/>
      <c r="E132" s="40" t="n"/>
      <c r="F132" s="25">
        <f>IF($D132="","",IFERROR(VLOOKUP($D132,'Products &amp; Pricing'!$A$14:$D$41,4,FALSE),""))</f>
        <v/>
      </c>
      <c r="G132" s="25">
        <f>IF($D132="","",N(E132)*N(F132))</f>
        <v/>
      </c>
      <c r="H132" s="24" t="n"/>
      <c r="I132" s="24" t="n"/>
      <c r="J132" s="25">
        <f>IF($D132="","",N(G132)+N(H132)-N(I132))</f>
        <v/>
      </c>
      <c r="K132" s="24" t="n"/>
      <c r="L132" s="25">
        <f>IF($D132="","",N(J132)-N(K132))</f>
        <v/>
      </c>
    </row>
    <row r="133">
      <c r="A133" s="35" t="n"/>
      <c r="B133" s="9" t="n"/>
      <c r="C133" s="9" t="n"/>
      <c r="D133" s="9" t="n"/>
      <c r="E133" s="40" t="n"/>
      <c r="F133" s="25">
        <f>IF($D133="","",IFERROR(VLOOKUP($D133,'Products &amp; Pricing'!$A$14:$D$41,4,FALSE),""))</f>
        <v/>
      </c>
      <c r="G133" s="25">
        <f>IF($D133="","",N(E133)*N(F133))</f>
        <v/>
      </c>
      <c r="H133" s="24" t="n"/>
      <c r="I133" s="24" t="n"/>
      <c r="J133" s="25">
        <f>IF($D133="","",N(G133)+N(H133)-N(I133))</f>
        <v/>
      </c>
      <c r="K133" s="24" t="n"/>
      <c r="L133" s="25">
        <f>IF($D133="","",N(J133)-N(K133))</f>
        <v/>
      </c>
    </row>
    <row r="134">
      <c r="A134" s="35" t="n"/>
      <c r="B134" s="9" t="n"/>
      <c r="C134" s="9" t="n"/>
      <c r="D134" s="9" t="n"/>
      <c r="E134" s="40" t="n"/>
      <c r="F134" s="25">
        <f>IF($D134="","",IFERROR(VLOOKUP($D134,'Products &amp; Pricing'!$A$14:$D$41,4,FALSE),""))</f>
        <v/>
      </c>
      <c r="G134" s="25">
        <f>IF($D134="","",N(E134)*N(F134))</f>
        <v/>
      </c>
      <c r="H134" s="24" t="n"/>
      <c r="I134" s="24" t="n"/>
      <c r="J134" s="25">
        <f>IF($D134="","",N(G134)+N(H134)-N(I134))</f>
        <v/>
      </c>
      <c r="K134" s="24" t="n"/>
      <c r="L134" s="25">
        <f>IF($D134="","",N(J134)-N(K134))</f>
        <v/>
      </c>
    </row>
    <row r="135">
      <c r="A135" s="35" t="n"/>
      <c r="B135" s="9" t="n"/>
      <c r="C135" s="9" t="n"/>
      <c r="D135" s="9" t="n"/>
      <c r="E135" s="40" t="n"/>
      <c r="F135" s="25">
        <f>IF($D135="","",IFERROR(VLOOKUP($D135,'Products &amp; Pricing'!$A$14:$D$41,4,FALSE),""))</f>
        <v/>
      </c>
      <c r="G135" s="25">
        <f>IF($D135="","",N(E135)*N(F135))</f>
        <v/>
      </c>
      <c r="H135" s="24" t="n"/>
      <c r="I135" s="24" t="n"/>
      <c r="J135" s="25">
        <f>IF($D135="","",N(G135)+N(H135)-N(I135))</f>
        <v/>
      </c>
      <c r="K135" s="24" t="n"/>
      <c r="L135" s="25">
        <f>IF($D135="","",N(J135)-N(K135))</f>
        <v/>
      </c>
    </row>
    <row r="136">
      <c r="A136" s="35" t="n"/>
      <c r="B136" s="9" t="n"/>
      <c r="C136" s="9" t="n"/>
      <c r="D136" s="9" t="n"/>
      <c r="E136" s="40" t="n"/>
      <c r="F136" s="25">
        <f>IF($D136="","",IFERROR(VLOOKUP($D136,'Products &amp; Pricing'!$A$14:$D$41,4,FALSE),""))</f>
        <v/>
      </c>
      <c r="G136" s="25">
        <f>IF($D136="","",N(E136)*N(F136))</f>
        <v/>
      </c>
      <c r="H136" s="24" t="n"/>
      <c r="I136" s="24" t="n"/>
      <c r="J136" s="25">
        <f>IF($D136="","",N(G136)+N(H136)-N(I136))</f>
        <v/>
      </c>
      <c r="K136" s="24" t="n"/>
      <c r="L136" s="25">
        <f>IF($D136="","",N(J136)-N(K136))</f>
        <v/>
      </c>
    </row>
    <row r="137">
      <c r="A137" s="35" t="n"/>
      <c r="B137" s="9" t="n"/>
      <c r="C137" s="9" t="n"/>
      <c r="D137" s="9" t="n"/>
      <c r="E137" s="40" t="n"/>
      <c r="F137" s="25">
        <f>IF($D137="","",IFERROR(VLOOKUP($D137,'Products &amp; Pricing'!$A$14:$D$41,4,FALSE),""))</f>
        <v/>
      </c>
      <c r="G137" s="25">
        <f>IF($D137="","",N(E137)*N(F137))</f>
        <v/>
      </c>
      <c r="H137" s="24" t="n"/>
      <c r="I137" s="24" t="n"/>
      <c r="J137" s="25">
        <f>IF($D137="","",N(G137)+N(H137)-N(I137))</f>
        <v/>
      </c>
      <c r="K137" s="24" t="n"/>
      <c r="L137" s="25">
        <f>IF($D137="","",N(J137)-N(K137))</f>
        <v/>
      </c>
    </row>
    <row r="138">
      <c r="A138" s="35" t="n"/>
      <c r="B138" s="9" t="n"/>
      <c r="C138" s="9" t="n"/>
      <c r="D138" s="9" t="n"/>
      <c r="E138" s="40" t="n"/>
      <c r="F138" s="25">
        <f>IF($D138="","",IFERROR(VLOOKUP($D138,'Products &amp; Pricing'!$A$14:$D$41,4,FALSE),""))</f>
        <v/>
      </c>
      <c r="G138" s="25">
        <f>IF($D138="","",N(E138)*N(F138))</f>
        <v/>
      </c>
      <c r="H138" s="24" t="n"/>
      <c r="I138" s="24" t="n"/>
      <c r="J138" s="25">
        <f>IF($D138="","",N(G138)+N(H138)-N(I138))</f>
        <v/>
      </c>
      <c r="K138" s="24" t="n"/>
      <c r="L138" s="25">
        <f>IF($D138="","",N(J138)-N(K138))</f>
        <v/>
      </c>
    </row>
    <row r="139">
      <c r="A139" s="35" t="n"/>
      <c r="B139" s="9" t="n"/>
      <c r="C139" s="9" t="n"/>
      <c r="D139" s="9" t="n"/>
      <c r="E139" s="40" t="n"/>
      <c r="F139" s="25">
        <f>IF($D139="","",IFERROR(VLOOKUP($D139,'Products &amp; Pricing'!$A$14:$D$41,4,FALSE),""))</f>
        <v/>
      </c>
      <c r="G139" s="25">
        <f>IF($D139="","",N(E139)*N(F139))</f>
        <v/>
      </c>
      <c r="H139" s="24" t="n"/>
      <c r="I139" s="24" t="n"/>
      <c r="J139" s="25">
        <f>IF($D139="","",N(G139)+N(H139)-N(I139))</f>
        <v/>
      </c>
      <c r="K139" s="24" t="n"/>
      <c r="L139" s="25">
        <f>IF($D139="","",N(J139)-N(K139))</f>
        <v/>
      </c>
    </row>
    <row r="140">
      <c r="A140" s="35" t="n"/>
      <c r="B140" s="9" t="n"/>
      <c r="C140" s="9" t="n"/>
      <c r="D140" s="9" t="n"/>
      <c r="E140" s="40" t="n"/>
      <c r="F140" s="25">
        <f>IF($D140="","",IFERROR(VLOOKUP($D140,'Products &amp; Pricing'!$A$14:$D$41,4,FALSE),""))</f>
        <v/>
      </c>
      <c r="G140" s="25">
        <f>IF($D140="","",N(E140)*N(F140))</f>
        <v/>
      </c>
      <c r="H140" s="24" t="n"/>
      <c r="I140" s="24" t="n"/>
      <c r="J140" s="25">
        <f>IF($D140="","",N(G140)+N(H140)-N(I140))</f>
        <v/>
      </c>
      <c r="K140" s="24" t="n"/>
      <c r="L140" s="25">
        <f>IF($D140="","",N(J140)-N(K140))</f>
        <v/>
      </c>
    </row>
    <row r="141">
      <c r="A141" s="35" t="n"/>
      <c r="B141" s="9" t="n"/>
      <c r="C141" s="9" t="n"/>
      <c r="D141" s="9" t="n"/>
      <c r="E141" s="40" t="n"/>
      <c r="F141" s="25">
        <f>IF($D141="","",IFERROR(VLOOKUP($D141,'Products &amp; Pricing'!$A$14:$D$41,4,FALSE),""))</f>
        <v/>
      </c>
      <c r="G141" s="25">
        <f>IF($D141="","",N(E141)*N(F141))</f>
        <v/>
      </c>
      <c r="H141" s="24" t="n"/>
      <c r="I141" s="24" t="n"/>
      <c r="J141" s="25">
        <f>IF($D141="","",N(G141)+N(H141)-N(I141))</f>
        <v/>
      </c>
      <c r="K141" s="24" t="n"/>
      <c r="L141" s="25">
        <f>IF($D141="","",N(J141)-N(K141))</f>
        <v/>
      </c>
    </row>
    <row r="142">
      <c r="A142" s="35" t="n"/>
      <c r="B142" s="9" t="n"/>
      <c r="C142" s="9" t="n"/>
      <c r="D142" s="9" t="n"/>
      <c r="E142" s="40" t="n"/>
      <c r="F142" s="25">
        <f>IF($D142="","",IFERROR(VLOOKUP($D142,'Products &amp; Pricing'!$A$14:$D$41,4,FALSE),""))</f>
        <v/>
      </c>
      <c r="G142" s="25">
        <f>IF($D142="","",N(E142)*N(F142))</f>
        <v/>
      </c>
      <c r="H142" s="24" t="n"/>
      <c r="I142" s="24" t="n"/>
      <c r="J142" s="25">
        <f>IF($D142="","",N(G142)+N(H142)-N(I142))</f>
        <v/>
      </c>
      <c r="K142" s="24" t="n"/>
      <c r="L142" s="25">
        <f>IF($D142="","",N(J142)-N(K142))</f>
        <v/>
      </c>
    </row>
    <row r="143">
      <c r="A143" s="35" t="n"/>
      <c r="B143" s="9" t="n"/>
      <c r="C143" s="9" t="n"/>
      <c r="D143" s="9" t="n"/>
      <c r="E143" s="40" t="n"/>
      <c r="F143" s="25">
        <f>IF($D143="","",IFERROR(VLOOKUP($D143,'Products &amp; Pricing'!$A$14:$D$41,4,FALSE),""))</f>
        <v/>
      </c>
      <c r="G143" s="25">
        <f>IF($D143="","",N(E143)*N(F143))</f>
        <v/>
      </c>
      <c r="H143" s="24" t="n"/>
      <c r="I143" s="24" t="n"/>
      <c r="J143" s="25">
        <f>IF($D143="","",N(G143)+N(H143)-N(I143))</f>
        <v/>
      </c>
      <c r="K143" s="24" t="n"/>
      <c r="L143" s="25">
        <f>IF($D143="","",N(J143)-N(K143))</f>
        <v/>
      </c>
    </row>
    <row r="144">
      <c r="A144" s="35" t="n"/>
      <c r="B144" s="9" t="n"/>
      <c r="C144" s="9" t="n"/>
      <c r="D144" s="9" t="n"/>
      <c r="E144" s="40" t="n"/>
      <c r="F144" s="25">
        <f>IF($D144="","",IFERROR(VLOOKUP($D144,'Products &amp; Pricing'!$A$14:$D$41,4,FALSE),""))</f>
        <v/>
      </c>
      <c r="G144" s="25">
        <f>IF($D144="","",N(E144)*N(F144))</f>
        <v/>
      </c>
      <c r="H144" s="24" t="n"/>
      <c r="I144" s="24" t="n"/>
      <c r="J144" s="25">
        <f>IF($D144="","",N(G144)+N(H144)-N(I144))</f>
        <v/>
      </c>
      <c r="K144" s="24" t="n"/>
      <c r="L144" s="25">
        <f>IF($D144="","",N(J144)-N(K144))</f>
        <v/>
      </c>
    </row>
    <row r="145">
      <c r="A145" s="35" t="n"/>
      <c r="B145" s="9" t="n"/>
      <c r="C145" s="9" t="n"/>
      <c r="D145" s="9" t="n"/>
      <c r="E145" s="40" t="n"/>
      <c r="F145" s="25">
        <f>IF($D145="","",IFERROR(VLOOKUP($D145,'Products &amp; Pricing'!$A$14:$D$41,4,FALSE),""))</f>
        <v/>
      </c>
      <c r="G145" s="25">
        <f>IF($D145="","",N(E145)*N(F145))</f>
        <v/>
      </c>
      <c r="H145" s="24" t="n"/>
      <c r="I145" s="24" t="n"/>
      <c r="J145" s="25">
        <f>IF($D145="","",N(G145)+N(H145)-N(I145))</f>
        <v/>
      </c>
      <c r="K145" s="24" t="n"/>
      <c r="L145" s="25">
        <f>IF($D145="","",N(J145)-N(K145))</f>
        <v/>
      </c>
    </row>
    <row r="146">
      <c r="A146" s="35" t="n"/>
      <c r="B146" s="9" t="n"/>
      <c r="C146" s="9" t="n"/>
      <c r="D146" s="9" t="n"/>
      <c r="E146" s="40" t="n"/>
      <c r="F146" s="25">
        <f>IF($D146="","",IFERROR(VLOOKUP($D146,'Products &amp; Pricing'!$A$14:$D$41,4,FALSE),""))</f>
        <v/>
      </c>
      <c r="G146" s="25">
        <f>IF($D146="","",N(E146)*N(F146))</f>
        <v/>
      </c>
      <c r="H146" s="24" t="n"/>
      <c r="I146" s="24" t="n"/>
      <c r="J146" s="25">
        <f>IF($D146="","",N(G146)+N(H146)-N(I146))</f>
        <v/>
      </c>
      <c r="K146" s="24" t="n"/>
      <c r="L146" s="25">
        <f>IF($D146="","",N(J146)-N(K146))</f>
        <v/>
      </c>
    </row>
    <row r="147">
      <c r="A147" s="35" t="n"/>
      <c r="B147" s="9" t="n"/>
      <c r="C147" s="9" t="n"/>
      <c r="D147" s="9" t="n"/>
      <c r="E147" s="40" t="n"/>
      <c r="F147" s="25">
        <f>IF($D147="","",IFERROR(VLOOKUP($D147,'Products &amp; Pricing'!$A$14:$D$41,4,FALSE),""))</f>
        <v/>
      </c>
      <c r="G147" s="25">
        <f>IF($D147="","",N(E147)*N(F147))</f>
        <v/>
      </c>
      <c r="H147" s="24" t="n"/>
      <c r="I147" s="24" t="n"/>
      <c r="J147" s="25">
        <f>IF($D147="","",N(G147)+N(H147)-N(I147))</f>
        <v/>
      </c>
      <c r="K147" s="24" t="n"/>
      <c r="L147" s="25">
        <f>IF($D147="","",N(J147)-N(K147))</f>
        <v/>
      </c>
    </row>
    <row r="148">
      <c r="A148" s="35" t="n"/>
      <c r="B148" s="9" t="n"/>
      <c r="C148" s="9" t="n"/>
      <c r="D148" s="9" t="n"/>
      <c r="E148" s="40" t="n"/>
      <c r="F148" s="25">
        <f>IF($D148="","",IFERROR(VLOOKUP($D148,'Products &amp; Pricing'!$A$14:$D$41,4,FALSE),""))</f>
        <v/>
      </c>
      <c r="G148" s="25">
        <f>IF($D148="","",N(E148)*N(F148))</f>
        <v/>
      </c>
      <c r="H148" s="24" t="n"/>
      <c r="I148" s="24" t="n"/>
      <c r="J148" s="25">
        <f>IF($D148="","",N(G148)+N(H148)-N(I148))</f>
        <v/>
      </c>
      <c r="K148" s="24" t="n"/>
      <c r="L148" s="25">
        <f>IF($D148="","",N(J148)-N(K148))</f>
        <v/>
      </c>
    </row>
    <row r="149">
      <c r="A149" s="35" t="n"/>
      <c r="B149" s="9" t="n"/>
      <c r="C149" s="9" t="n"/>
      <c r="D149" s="9" t="n"/>
      <c r="E149" s="40" t="n"/>
      <c r="F149" s="25">
        <f>IF($D149="","",IFERROR(VLOOKUP($D149,'Products &amp; Pricing'!$A$14:$D$41,4,FALSE),""))</f>
        <v/>
      </c>
      <c r="G149" s="25">
        <f>IF($D149="","",N(E149)*N(F149))</f>
        <v/>
      </c>
      <c r="H149" s="24" t="n"/>
      <c r="I149" s="24" t="n"/>
      <c r="J149" s="25">
        <f>IF($D149="","",N(G149)+N(H149)-N(I149))</f>
        <v/>
      </c>
      <c r="K149" s="24" t="n"/>
      <c r="L149" s="25">
        <f>IF($D149="","",N(J149)-N(K149))</f>
        <v/>
      </c>
    </row>
    <row r="150">
      <c r="A150" s="35" t="n"/>
      <c r="B150" s="9" t="n"/>
      <c r="C150" s="9" t="n"/>
      <c r="D150" s="9" t="n"/>
      <c r="E150" s="40" t="n"/>
      <c r="F150" s="25">
        <f>IF($D150="","",IFERROR(VLOOKUP($D150,'Products &amp; Pricing'!$A$14:$D$41,4,FALSE),""))</f>
        <v/>
      </c>
      <c r="G150" s="25">
        <f>IF($D150="","",N(E150)*N(F150))</f>
        <v/>
      </c>
      <c r="H150" s="24" t="n"/>
      <c r="I150" s="24" t="n"/>
      <c r="J150" s="25">
        <f>IF($D150="","",N(G150)+N(H150)-N(I150))</f>
        <v/>
      </c>
      <c r="K150" s="24" t="n"/>
      <c r="L150" s="25">
        <f>IF($D150="","",N(J150)-N(K150))</f>
        <v/>
      </c>
    </row>
    <row r="151">
      <c r="A151" s="35" t="n"/>
      <c r="B151" s="9" t="n"/>
      <c r="C151" s="9" t="n"/>
      <c r="D151" s="9" t="n"/>
      <c r="E151" s="40" t="n"/>
      <c r="F151" s="25">
        <f>IF($D151="","",IFERROR(VLOOKUP($D151,'Products &amp; Pricing'!$A$14:$D$41,4,FALSE),""))</f>
        <v/>
      </c>
      <c r="G151" s="25">
        <f>IF($D151="","",N(E151)*N(F151))</f>
        <v/>
      </c>
      <c r="H151" s="24" t="n"/>
      <c r="I151" s="24" t="n"/>
      <c r="J151" s="25">
        <f>IF($D151="","",N(G151)+N(H151)-N(I151))</f>
        <v/>
      </c>
      <c r="K151" s="24" t="n"/>
      <c r="L151" s="25">
        <f>IF($D151="","",N(J151)-N(K151))</f>
        <v/>
      </c>
    </row>
    <row r="152">
      <c r="A152" s="35" t="n"/>
      <c r="B152" s="9" t="n"/>
      <c r="C152" s="9" t="n"/>
      <c r="D152" s="9" t="n"/>
      <c r="E152" s="40" t="n"/>
      <c r="F152" s="25">
        <f>IF($D152="","",IFERROR(VLOOKUP($D152,'Products &amp; Pricing'!$A$14:$D$41,4,FALSE),""))</f>
        <v/>
      </c>
      <c r="G152" s="25">
        <f>IF($D152="","",N(E152)*N(F152))</f>
        <v/>
      </c>
      <c r="H152" s="24" t="n"/>
      <c r="I152" s="24" t="n"/>
      <c r="J152" s="25">
        <f>IF($D152="","",N(G152)+N(H152)-N(I152))</f>
        <v/>
      </c>
      <c r="K152" s="24" t="n"/>
      <c r="L152" s="25">
        <f>IF($D152="","",N(J152)-N(K152))</f>
        <v/>
      </c>
    </row>
    <row r="153">
      <c r="A153" s="35" t="n"/>
      <c r="B153" s="9" t="n"/>
      <c r="C153" s="9" t="n"/>
      <c r="D153" s="9" t="n"/>
      <c r="E153" s="40" t="n"/>
      <c r="F153" s="25">
        <f>IF($D153="","",IFERROR(VLOOKUP($D153,'Products &amp; Pricing'!$A$14:$D$41,4,FALSE),""))</f>
        <v/>
      </c>
      <c r="G153" s="25">
        <f>IF($D153="","",N(E153)*N(F153))</f>
        <v/>
      </c>
      <c r="H153" s="24" t="n"/>
      <c r="I153" s="24" t="n"/>
      <c r="J153" s="25">
        <f>IF($D153="","",N(G153)+N(H153)-N(I153))</f>
        <v/>
      </c>
      <c r="K153" s="24" t="n"/>
      <c r="L153" s="25">
        <f>IF($D153="","",N(J153)-N(K153))</f>
        <v/>
      </c>
    </row>
    <row r="154">
      <c r="A154" s="35" t="n"/>
      <c r="B154" s="9" t="n"/>
      <c r="C154" s="9" t="n"/>
      <c r="D154" s="9" t="n"/>
      <c r="E154" s="40" t="n"/>
      <c r="F154" s="25">
        <f>IF($D154="","",IFERROR(VLOOKUP($D154,'Products &amp; Pricing'!$A$14:$D$41,4,FALSE),""))</f>
        <v/>
      </c>
      <c r="G154" s="25">
        <f>IF($D154="","",N(E154)*N(F154))</f>
        <v/>
      </c>
      <c r="H154" s="24" t="n"/>
      <c r="I154" s="24" t="n"/>
      <c r="J154" s="25">
        <f>IF($D154="","",N(G154)+N(H154)-N(I154))</f>
        <v/>
      </c>
      <c r="K154" s="24" t="n"/>
      <c r="L154" s="25">
        <f>IF($D154="","",N(J154)-N(K154))</f>
        <v/>
      </c>
    </row>
    <row r="155">
      <c r="A155" s="35" t="n"/>
      <c r="B155" s="9" t="n"/>
      <c r="C155" s="9" t="n"/>
      <c r="D155" s="9" t="n"/>
      <c r="E155" s="40" t="n"/>
      <c r="F155" s="25">
        <f>IF($D155="","",IFERROR(VLOOKUP($D155,'Products &amp; Pricing'!$A$14:$D$41,4,FALSE),""))</f>
        <v/>
      </c>
      <c r="G155" s="25">
        <f>IF($D155="","",N(E155)*N(F155))</f>
        <v/>
      </c>
      <c r="H155" s="24" t="n"/>
      <c r="I155" s="24" t="n"/>
      <c r="J155" s="25">
        <f>IF($D155="","",N(G155)+N(H155)-N(I155))</f>
        <v/>
      </c>
      <c r="K155" s="24" t="n"/>
      <c r="L155" s="25">
        <f>IF($D155="","",N(J155)-N(K155))</f>
        <v/>
      </c>
    </row>
    <row r="156">
      <c r="A156" s="35" t="n"/>
      <c r="B156" s="9" t="n"/>
      <c r="C156" s="9" t="n"/>
      <c r="D156" s="9" t="n"/>
      <c r="E156" s="40" t="n"/>
      <c r="F156" s="25">
        <f>IF($D156="","",IFERROR(VLOOKUP($D156,'Products &amp; Pricing'!$A$14:$D$41,4,FALSE),""))</f>
        <v/>
      </c>
      <c r="G156" s="25">
        <f>IF($D156="","",N(E156)*N(F156))</f>
        <v/>
      </c>
      <c r="H156" s="24" t="n"/>
      <c r="I156" s="24" t="n"/>
      <c r="J156" s="25">
        <f>IF($D156="","",N(G156)+N(H156)-N(I156))</f>
        <v/>
      </c>
      <c r="K156" s="24" t="n"/>
      <c r="L156" s="25">
        <f>IF($D156="","",N(J156)-N(K156))</f>
        <v/>
      </c>
    </row>
    <row r="157">
      <c r="A157" s="35" t="n"/>
      <c r="B157" s="9" t="n"/>
      <c r="C157" s="9" t="n"/>
      <c r="D157" s="9" t="n"/>
      <c r="E157" s="40" t="n"/>
      <c r="F157" s="25">
        <f>IF($D157="","",IFERROR(VLOOKUP($D157,'Products &amp; Pricing'!$A$14:$D$41,4,FALSE),""))</f>
        <v/>
      </c>
      <c r="G157" s="25">
        <f>IF($D157="","",N(E157)*N(F157))</f>
        <v/>
      </c>
      <c r="H157" s="24" t="n"/>
      <c r="I157" s="24" t="n"/>
      <c r="J157" s="25">
        <f>IF($D157="","",N(G157)+N(H157)-N(I157))</f>
        <v/>
      </c>
      <c r="K157" s="24" t="n"/>
      <c r="L157" s="25">
        <f>IF($D157="","",N(J157)-N(K157))</f>
        <v/>
      </c>
    </row>
    <row r="158">
      <c r="A158" s="35" t="n"/>
      <c r="B158" s="9" t="n"/>
      <c r="C158" s="9" t="n"/>
      <c r="D158" s="9" t="n"/>
      <c r="E158" s="40" t="n"/>
      <c r="F158" s="25">
        <f>IF($D158="","",IFERROR(VLOOKUP($D158,'Products &amp; Pricing'!$A$14:$D$41,4,FALSE),""))</f>
        <v/>
      </c>
      <c r="G158" s="25">
        <f>IF($D158="","",N(E158)*N(F158))</f>
        <v/>
      </c>
      <c r="H158" s="24" t="n"/>
      <c r="I158" s="24" t="n"/>
      <c r="J158" s="25">
        <f>IF($D158="","",N(G158)+N(H158)-N(I158))</f>
        <v/>
      </c>
      <c r="K158" s="24" t="n"/>
      <c r="L158" s="25">
        <f>IF($D158="","",N(J158)-N(K158))</f>
        <v/>
      </c>
    </row>
    <row r="159">
      <c r="A159" s="35" t="n"/>
      <c r="B159" s="9" t="n"/>
      <c r="C159" s="9" t="n"/>
      <c r="D159" s="9" t="n"/>
      <c r="E159" s="40" t="n"/>
      <c r="F159" s="25">
        <f>IF($D159="","",IFERROR(VLOOKUP($D159,'Products &amp; Pricing'!$A$14:$D$41,4,FALSE),""))</f>
        <v/>
      </c>
      <c r="G159" s="25">
        <f>IF($D159="","",N(E159)*N(F159))</f>
        <v/>
      </c>
      <c r="H159" s="24" t="n"/>
      <c r="I159" s="24" t="n"/>
      <c r="J159" s="25">
        <f>IF($D159="","",N(G159)+N(H159)-N(I159))</f>
        <v/>
      </c>
      <c r="K159" s="24" t="n"/>
      <c r="L159" s="25">
        <f>IF($D159="","",N(J159)-N(K159))</f>
        <v/>
      </c>
    </row>
    <row r="160">
      <c r="A160" s="35" t="n"/>
      <c r="B160" s="9" t="n"/>
      <c r="C160" s="9" t="n"/>
      <c r="D160" s="9" t="n"/>
      <c r="E160" s="40" t="n"/>
      <c r="F160" s="25">
        <f>IF($D160="","",IFERROR(VLOOKUP($D160,'Products &amp; Pricing'!$A$14:$D$41,4,FALSE),""))</f>
        <v/>
      </c>
      <c r="G160" s="25">
        <f>IF($D160="","",N(E160)*N(F160))</f>
        <v/>
      </c>
      <c r="H160" s="24" t="n"/>
      <c r="I160" s="24" t="n"/>
      <c r="J160" s="25">
        <f>IF($D160="","",N(G160)+N(H160)-N(I160))</f>
        <v/>
      </c>
      <c r="K160" s="24" t="n"/>
      <c r="L160" s="25">
        <f>IF($D160="","",N(J160)-N(K160))</f>
        <v/>
      </c>
    </row>
    <row r="161">
      <c r="A161" s="35" t="n"/>
      <c r="B161" s="9" t="n"/>
      <c r="C161" s="9" t="n"/>
      <c r="D161" s="9" t="n"/>
      <c r="E161" s="40" t="n"/>
      <c r="F161" s="25">
        <f>IF($D161="","",IFERROR(VLOOKUP($D161,'Products &amp; Pricing'!$A$14:$D$41,4,FALSE),""))</f>
        <v/>
      </c>
      <c r="G161" s="25">
        <f>IF($D161="","",N(E161)*N(F161))</f>
        <v/>
      </c>
      <c r="H161" s="24" t="n"/>
      <c r="I161" s="24" t="n"/>
      <c r="J161" s="25">
        <f>IF($D161="","",N(G161)+N(H161)-N(I161))</f>
        <v/>
      </c>
      <c r="K161" s="24" t="n"/>
      <c r="L161" s="25">
        <f>IF($D161="","",N(J161)-N(K161))</f>
        <v/>
      </c>
    </row>
    <row r="162">
      <c r="A162" s="35" t="n"/>
      <c r="B162" s="9" t="n"/>
      <c r="C162" s="9" t="n"/>
      <c r="D162" s="9" t="n"/>
      <c r="E162" s="40" t="n"/>
      <c r="F162" s="25">
        <f>IF($D162="","",IFERROR(VLOOKUP($D162,'Products &amp; Pricing'!$A$14:$D$41,4,FALSE),""))</f>
        <v/>
      </c>
      <c r="G162" s="25">
        <f>IF($D162="","",N(E162)*N(F162))</f>
        <v/>
      </c>
      <c r="H162" s="24" t="n"/>
      <c r="I162" s="24" t="n"/>
      <c r="J162" s="25">
        <f>IF($D162="","",N(G162)+N(H162)-N(I162))</f>
        <v/>
      </c>
      <c r="K162" s="24" t="n"/>
      <c r="L162" s="25">
        <f>IF($D162="","",N(J162)-N(K162))</f>
        <v/>
      </c>
    </row>
    <row r="163">
      <c r="A163" s="35" t="n"/>
      <c r="B163" s="9" t="n"/>
      <c r="C163" s="9" t="n"/>
      <c r="D163" s="9" t="n"/>
      <c r="E163" s="40" t="n"/>
      <c r="F163" s="25">
        <f>IF($D163="","",IFERROR(VLOOKUP($D163,'Products &amp; Pricing'!$A$14:$D$41,4,FALSE),""))</f>
        <v/>
      </c>
      <c r="G163" s="25">
        <f>IF($D163="","",N(E163)*N(F163))</f>
        <v/>
      </c>
      <c r="H163" s="24" t="n"/>
      <c r="I163" s="24" t="n"/>
      <c r="J163" s="25">
        <f>IF($D163="","",N(G163)+N(H163)-N(I163))</f>
        <v/>
      </c>
      <c r="K163" s="24" t="n"/>
      <c r="L163" s="25">
        <f>IF($D163="","",N(J163)-N(K163))</f>
        <v/>
      </c>
    </row>
    <row r="164">
      <c r="A164" s="35" t="n"/>
      <c r="B164" s="9" t="n"/>
      <c r="C164" s="9" t="n"/>
      <c r="D164" s="9" t="n"/>
      <c r="E164" s="40" t="n"/>
      <c r="F164" s="25">
        <f>IF($D164="","",IFERROR(VLOOKUP($D164,'Products &amp; Pricing'!$A$14:$D$41,4,FALSE),""))</f>
        <v/>
      </c>
      <c r="G164" s="25">
        <f>IF($D164="","",N(E164)*N(F164))</f>
        <v/>
      </c>
      <c r="H164" s="24" t="n"/>
      <c r="I164" s="24" t="n"/>
      <c r="J164" s="25">
        <f>IF($D164="","",N(G164)+N(H164)-N(I164))</f>
        <v/>
      </c>
      <c r="K164" s="24" t="n"/>
      <c r="L164" s="25">
        <f>IF($D164="","",N(J164)-N(K164))</f>
        <v/>
      </c>
    </row>
    <row r="165">
      <c r="A165" s="35" t="n"/>
      <c r="B165" s="9" t="n"/>
      <c r="C165" s="9" t="n"/>
      <c r="D165" s="9" t="n"/>
      <c r="E165" s="40" t="n"/>
      <c r="F165" s="25">
        <f>IF($D165="","",IFERROR(VLOOKUP($D165,'Products &amp; Pricing'!$A$14:$D$41,4,FALSE),""))</f>
        <v/>
      </c>
      <c r="G165" s="25">
        <f>IF($D165="","",N(E165)*N(F165))</f>
        <v/>
      </c>
      <c r="H165" s="24" t="n"/>
      <c r="I165" s="24" t="n"/>
      <c r="J165" s="25">
        <f>IF($D165="","",N(G165)+N(H165)-N(I165))</f>
        <v/>
      </c>
      <c r="K165" s="24" t="n"/>
      <c r="L165" s="25">
        <f>IF($D165="","",N(J165)-N(K165))</f>
        <v/>
      </c>
    </row>
    <row r="166">
      <c r="A166" s="35" t="n"/>
      <c r="B166" s="9" t="n"/>
      <c r="C166" s="9" t="n"/>
      <c r="D166" s="9" t="n"/>
      <c r="E166" s="40" t="n"/>
      <c r="F166" s="25">
        <f>IF($D166="","",IFERROR(VLOOKUP($D166,'Products &amp; Pricing'!$A$14:$D$41,4,FALSE),""))</f>
        <v/>
      </c>
      <c r="G166" s="25">
        <f>IF($D166="","",N(E166)*N(F166))</f>
        <v/>
      </c>
      <c r="H166" s="24" t="n"/>
      <c r="I166" s="24" t="n"/>
      <c r="J166" s="25">
        <f>IF($D166="","",N(G166)+N(H166)-N(I166))</f>
        <v/>
      </c>
      <c r="K166" s="24" t="n"/>
      <c r="L166" s="25">
        <f>IF($D166="","",N(J166)-N(K166))</f>
        <v/>
      </c>
    </row>
    <row r="167">
      <c r="A167" s="35" t="n"/>
      <c r="B167" s="9" t="n"/>
      <c r="C167" s="9" t="n"/>
      <c r="D167" s="9" t="n"/>
      <c r="E167" s="40" t="n"/>
      <c r="F167" s="25">
        <f>IF($D167="","",IFERROR(VLOOKUP($D167,'Products &amp; Pricing'!$A$14:$D$41,4,FALSE),""))</f>
        <v/>
      </c>
      <c r="G167" s="25">
        <f>IF($D167="","",N(E167)*N(F167))</f>
        <v/>
      </c>
      <c r="H167" s="24" t="n"/>
      <c r="I167" s="24" t="n"/>
      <c r="J167" s="25">
        <f>IF($D167="","",N(G167)+N(H167)-N(I167))</f>
        <v/>
      </c>
      <c r="K167" s="24" t="n"/>
      <c r="L167" s="25">
        <f>IF($D167="","",N(J167)-N(K167))</f>
        <v/>
      </c>
    </row>
    <row r="168">
      <c r="A168" s="35" t="n"/>
      <c r="B168" s="9" t="n"/>
      <c r="C168" s="9" t="n"/>
      <c r="D168" s="9" t="n"/>
      <c r="E168" s="40" t="n"/>
      <c r="F168" s="25">
        <f>IF($D168="","",IFERROR(VLOOKUP($D168,'Products &amp; Pricing'!$A$14:$D$41,4,FALSE),""))</f>
        <v/>
      </c>
      <c r="G168" s="25">
        <f>IF($D168="","",N(E168)*N(F168))</f>
        <v/>
      </c>
      <c r="H168" s="24" t="n"/>
      <c r="I168" s="24" t="n"/>
      <c r="J168" s="25">
        <f>IF($D168="","",N(G168)+N(H168)-N(I168))</f>
        <v/>
      </c>
      <c r="K168" s="24" t="n"/>
      <c r="L168" s="25">
        <f>IF($D168="","",N(J168)-N(K168))</f>
        <v/>
      </c>
    </row>
    <row r="169">
      <c r="A169" s="35" t="n"/>
      <c r="B169" s="9" t="n"/>
      <c r="C169" s="9" t="n"/>
      <c r="D169" s="9" t="n"/>
      <c r="E169" s="40" t="n"/>
      <c r="F169" s="25">
        <f>IF($D169="","",IFERROR(VLOOKUP($D169,'Products &amp; Pricing'!$A$14:$D$41,4,FALSE),""))</f>
        <v/>
      </c>
      <c r="G169" s="25">
        <f>IF($D169="","",N(E169)*N(F169))</f>
        <v/>
      </c>
      <c r="H169" s="24" t="n"/>
      <c r="I169" s="24" t="n"/>
      <c r="J169" s="25">
        <f>IF($D169="","",N(G169)+N(H169)-N(I169))</f>
        <v/>
      </c>
      <c r="K169" s="24" t="n"/>
      <c r="L169" s="25">
        <f>IF($D169="","",N(J169)-N(K169))</f>
        <v/>
      </c>
    </row>
    <row r="170">
      <c r="A170" s="35" t="n"/>
      <c r="B170" s="9" t="n"/>
      <c r="C170" s="9" t="n"/>
      <c r="D170" s="9" t="n"/>
      <c r="E170" s="40" t="n"/>
      <c r="F170" s="25">
        <f>IF($D170="","",IFERROR(VLOOKUP($D170,'Products &amp; Pricing'!$A$14:$D$41,4,FALSE),""))</f>
        <v/>
      </c>
      <c r="G170" s="25">
        <f>IF($D170="","",N(E170)*N(F170))</f>
        <v/>
      </c>
      <c r="H170" s="24" t="n"/>
      <c r="I170" s="24" t="n"/>
      <c r="J170" s="25">
        <f>IF($D170="","",N(G170)+N(H170)-N(I170))</f>
        <v/>
      </c>
      <c r="K170" s="24" t="n"/>
      <c r="L170" s="25">
        <f>IF($D170="","",N(J170)-N(K170))</f>
        <v/>
      </c>
    </row>
    <row r="171">
      <c r="A171" s="35" t="n"/>
      <c r="B171" s="9" t="n"/>
      <c r="C171" s="9" t="n"/>
      <c r="D171" s="9" t="n"/>
      <c r="E171" s="40" t="n"/>
      <c r="F171" s="25">
        <f>IF($D171="","",IFERROR(VLOOKUP($D171,'Products &amp; Pricing'!$A$14:$D$41,4,FALSE),""))</f>
        <v/>
      </c>
      <c r="G171" s="25">
        <f>IF($D171="","",N(E171)*N(F171))</f>
        <v/>
      </c>
      <c r="H171" s="24" t="n"/>
      <c r="I171" s="24" t="n"/>
      <c r="J171" s="25">
        <f>IF($D171="","",N(G171)+N(H171)-N(I171))</f>
        <v/>
      </c>
      <c r="K171" s="24" t="n"/>
      <c r="L171" s="25">
        <f>IF($D171="","",N(J171)-N(K171))</f>
        <v/>
      </c>
    </row>
    <row r="172">
      <c r="A172" s="35" t="n"/>
      <c r="B172" s="9" t="n"/>
      <c r="C172" s="9" t="n"/>
      <c r="D172" s="9" t="n"/>
      <c r="E172" s="40" t="n"/>
      <c r="F172" s="25">
        <f>IF($D172="","",IFERROR(VLOOKUP($D172,'Products &amp; Pricing'!$A$14:$D$41,4,FALSE),""))</f>
        <v/>
      </c>
      <c r="G172" s="25">
        <f>IF($D172="","",N(E172)*N(F172))</f>
        <v/>
      </c>
      <c r="H172" s="24" t="n"/>
      <c r="I172" s="24" t="n"/>
      <c r="J172" s="25">
        <f>IF($D172="","",N(G172)+N(H172)-N(I172))</f>
        <v/>
      </c>
      <c r="K172" s="24" t="n"/>
      <c r="L172" s="25">
        <f>IF($D172="","",N(J172)-N(K172))</f>
        <v/>
      </c>
    </row>
    <row r="173">
      <c r="A173" s="35" t="n"/>
      <c r="B173" s="9" t="n"/>
      <c r="C173" s="9" t="n"/>
      <c r="D173" s="9" t="n"/>
      <c r="E173" s="40" t="n"/>
      <c r="F173" s="25">
        <f>IF($D173="","",IFERROR(VLOOKUP($D173,'Products &amp; Pricing'!$A$14:$D$41,4,FALSE),""))</f>
        <v/>
      </c>
      <c r="G173" s="25">
        <f>IF($D173="","",N(E173)*N(F173))</f>
        <v/>
      </c>
      <c r="H173" s="24" t="n"/>
      <c r="I173" s="24" t="n"/>
      <c r="J173" s="25">
        <f>IF($D173="","",N(G173)+N(H173)-N(I173))</f>
        <v/>
      </c>
      <c r="K173" s="24" t="n"/>
      <c r="L173" s="25">
        <f>IF($D173="","",N(J173)-N(K173))</f>
        <v/>
      </c>
    </row>
    <row r="174">
      <c r="A174" s="35" t="n"/>
      <c r="B174" s="9" t="n"/>
      <c r="C174" s="9" t="n"/>
      <c r="D174" s="9" t="n"/>
      <c r="E174" s="40" t="n"/>
      <c r="F174" s="25">
        <f>IF($D174="","",IFERROR(VLOOKUP($D174,'Products &amp; Pricing'!$A$14:$D$41,4,FALSE),""))</f>
        <v/>
      </c>
      <c r="G174" s="25">
        <f>IF($D174="","",N(E174)*N(F174))</f>
        <v/>
      </c>
      <c r="H174" s="24" t="n"/>
      <c r="I174" s="24" t="n"/>
      <c r="J174" s="25">
        <f>IF($D174="","",N(G174)+N(H174)-N(I174))</f>
        <v/>
      </c>
      <c r="K174" s="24" t="n"/>
      <c r="L174" s="25">
        <f>IF($D174="","",N(J174)-N(K174))</f>
        <v/>
      </c>
    </row>
    <row r="175">
      <c r="A175" s="35" t="n"/>
      <c r="B175" s="9" t="n"/>
      <c r="C175" s="9" t="n"/>
      <c r="D175" s="9" t="n"/>
      <c r="E175" s="40" t="n"/>
      <c r="F175" s="25">
        <f>IF($D175="","",IFERROR(VLOOKUP($D175,'Products &amp; Pricing'!$A$14:$D$41,4,FALSE),""))</f>
        <v/>
      </c>
      <c r="G175" s="25">
        <f>IF($D175="","",N(E175)*N(F175))</f>
        <v/>
      </c>
      <c r="H175" s="24" t="n"/>
      <c r="I175" s="24" t="n"/>
      <c r="J175" s="25">
        <f>IF($D175="","",N(G175)+N(H175)-N(I175))</f>
        <v/>
      </c>
      <c r="K175" s="24" t="n"/>
      <c r="L175" s="25">
        <f>IF($D175="","",N(J175)-N(K175))</f>
        <v/>
      </c>
    </row>
    <row r="176">
      <c r="A176" s="35" t="n"/>
      <c r="B176" s="9" t="n"/>
      <c r="C176" s="9" t="n"/>
      <c r="D176" s="9" t="n"/>
      <c r="E176" s="40" t="n"/>
      <c r="F176" s="25">
        <f>IF($D176="","",IFERROR(VLOOKUP($D176,'Products &amp; Pricing'!$A$14:$D$41,4,FALSE),""))</f>
        <v/>
      </c>
      <c r="G176" s="25">
        <f>IF($D176="","",N(E176)*N(F176))</f>
        <v/>
      </c>
      <c r="H176" s="24" t="n"/>
      <c r="I176" s="24" t="n"/>
      <c r="J176" s="25">
        <f>IF($D176="","",N(G176)+N(H176)-N(I176))</f>
        <v/>
      </c>
      <c r="K176" s="24" t="n"/>
      <c r="L176" s="25">
        <f>IF($D176="","",N(J176)-N(K176))</f>
        <v/>
      </c>
    </row>
    <row r="177">
      <c r="A177" s="35" t="n"/>
      <c r="B177" s="9" t="n"/>
      <c r="C177" s="9" t="n"/>
      <c r="D177" s="9" t="n"/>
      <c r="E177" s="40" t="n"/>
      <c r="F177" s="25">
        <f>IF($D177="","",IFERROR(VLOOKUP($D177,'Products &amp; Pricing'!$A$14:$D$41,4,FALSE),""))</f>
        <v/>
      </c>
      <c r="G177" s="25">
        <f>IF($D177="","",N(E177)*N(F177))</f>
        <v/>
      </c>
      <c r="H177" s="24" t="n"/>
      <c r="I177" s="24" t="n"/>
      <c r="J177" s="25">
        <f>IF($D177="","",N(G177)+N(H177)-N(I177))</f>
        <v/>
      </c>
      <c r="K177" s="24" t="n"/>
      <c r="L177" s="25">
        <f>IF($D177="","",N(J177)-N(K177))</f>
        <v/>
      </c>
    </row>
    <row r="178">
      <c r="A178" s="35" t="n"/>
      <c r="B178" s="9" t="n"/>
      <c r="C178" s="9" t="n"/>
      <c r="D178" s="9" t="n"/>
      <c r="E178" s="40" t="n"/>
      <c r="F178" s="25">
        <f>IF($D178="","",IFERROR(VLOOKUP($D178,'Products &amp; Pricing'!$A$14:$D$41,4,FALSE),""))</f>
        <v/>
      </c>
      <c r="G178" s="25">
        <f>IF($D178="","",N(E178)*N(F178))</f>
        <v/>
      </c>
      <c r="H178" s="24" t="n"/>
      <c r="I178" s="24" t="n"/>
      <c r="J178" s="25">
        <f>IF($D178="","",N(G178)+N(H178)-N(I178))</f>
        <v/>
      </c>
      <c r="K178" s="24" t="n"/>
      <c r="L178" s="25">
        <f>IF($D178="","",N(J178)-N(K178))</f>
        <v/>
      </c>
    </row>
    <row r="179">
      <c r="A179" s="35" t="n"/>
      <c r="B179" s="9" t="n"/>
      <c r="C179" s="9" t="n"/>
      <c r="D179" s="9" t="n"/>
      <c r="E179" s="40" t="n"/>
      <c r="F179" s="25">
        <f>IF($D179="","",IFERROR(VLOOKUP($D179,'Products &amp; Pricing'!$A$14:$D$41,4,FALSE),""))</f>
        <v/>
      </c>
      <c r="G179" s="25">
        <f>IF($D179="","",N(E179)*N(F179))</f>
        <v/>
      </c>
      <c r="H179" s="24" t="n"/>
      <c r="I179" s="24" t="n"/>
      <c r="J179" s="25">
        <f>IF($D179="","",N(G179)+N(H179)-N(I179))</f>
        <v/>
      </c>
      <c r="K179" s="24" t="n"/>
      <c r="L179" s="25">
        <f>IF($D179="","",N(J179)-N(K179))</f>
        <v/>
      </c>
    </row>
    <row r="180">
      <c r="A180" s="35" t="n"/>
      <c r="B180" s="9" t="n"/>
      <c r="C180" s="9" t="n"/>
      <c r="D180" s="9" t="n"/>
      <c r="E180" s="40" t="n"/>
      <c r="F180" s="25">
        <f>IF($D180="","",IFERROR(VLOOKUP($D180,'Products &amp; Pricing'!$A$14:$D$41,4,FALSE),""))</f>
        <v/>
      </c>
      <c r="G180" s="25">
        <f>IF($D180="","",N(E180)*N(F180))</f>
        <v/>
      </c>
      <c r="H180" s="24" t="n"/>
      <c r="I180" s="24" t="n"/>
      <c r="J180" s="25">
        <f>IF($D180="","",N(G180)+N(H180)-N(I180))</f>
        <v/>
      </c>
      <c r="K180" s="24" t="n"/>
      <c r="L180" s="25">
        <f>IF($D180="","",N(J180)-N(K180))</f>
        <v/>
      </c>
    </row>
    <row r="181">
      <c r="A181" s="35" t="n"/>
      <c r="B181" s="9" t="n"/>
      <c r="C181" s="9" t="n"/>
      <c r="D181" s="9" t="n"/>
      <c r="E181" s="40" t="n"/>
      <c r="F181" s="25">
        <f>IF($D181="","",IFERROR(VLOOKUP($D181,'Products &amp; Pricing'!$A$14:$D$41,4,FALSE),""))</f>
        <v/>
      </c>
      <c r="G181" s="25">
        <f>IF($D181="","",N(E181)*N(F181))</f>
        <v/>
      </c>
      <c r="H181" s="24" t="n"/>
      <c r="I181" s="24" t="n"/>
      <c r="J181" s="25">
        <f>IF($D181="","",N(G181)+N(H181)-N(I181))</f>
        <v/>
      </c>
      <c r="K181" s="24" t="n"/>
      <c r="L181" s="25">
        <f>IF($D181="","",N(J181)-N(K181))</f>
        <v/>
      </c>
    </row>
    <row r="182">
      <c r="A182" s="35" t="n"/>
      <c r="B182" s="9" t="n"/>
      <c r="C182" s="9" t="n"/>
      <c r="D182" s="9" t="n"/>
      <c r="E182" s="40" t="n"/>
      <c r="F182" s="25">
        <f>IF($D182="","",IFERROR(VLOOKUP($D182,'Products &amp; Pricing'!$A$14:$D$41,4,FALSE),""))</f>
        <v/>
      </c>
      <c r="G182" s="25">
        <f>IF($D182="","",N(E182)*N(F182))</f>
        <v/>
      </c>
      <c r="H182" s="24" t="n"/>
      <c r="I182" s="24" t="n"/>
      <c r="J182" s="25">
        <f>IF($D182="","",N(G182)+N(H182)-N(I182))</f>
        <v/>
      </c>
      <c r="K182" s="24" t="n"/>
      <c r="L182" s="25">
        <f>IF($D182="","",N(J182)-N(K182))</f>
        <v/>
      </c>
    </row>
    <row r="183">
      <c r="A183" s="35" t="n"/>
      <c r="B183" s="9" t="n"/>
      <c r="C183" s="9" t="n"/>
      <c r="D183" s="9" t="n"/>
      <c r="E183" s="40" t="n"/>
      <c r="F183" s="25">
        <f>IF($D183="","",IFERROR(VLOOKUP($D183,'Products &amp; Pricing'!$A$14:$D$41,4,FALSE),""))</f>
        <v/>
      </c>
      <c r="G183" s="25">
        <f>IF($D183="","",N(E183)*N(F183))</f>
        <v/>
      </c>
      <c r="H183" s="24" t="n"/>
      <c r="I183" s="24" t="n"/>
      <c r="J183" s="25">
        <f>IF($D183="","",N(G183)+N(H183)-N(I183))</f>
        <v/>
      </c>
      <c r="K183" s="24" t="n"/>
      <c r="L183" s="25">
        <f>IF($D183="","",N(J183)-N(K183))</f>
        <v/>
      </c>
    </row>
    <row r="184">
      <c r="A184" s="35" t="n"/>
      <c r="B184" s="9" t="n"/>
      <c r="C184" s="9" t="n"/>
      <c r="D184" s="9" t="n"/>
      <c r="E184" s="40" t="n"/>
      <c r="F184" s="25">
        <f>IF($D184="","",IFERROR(VLOOKUP($D184,'Products &amp; Pricing'!$A$14:$D$41,4,FALSE),""))</f>
        <v/>
      </c>
      <c r="G184" s="25">
        <f>IF($D184="","",N(E184)*N(F184))</f>
        <v/>
      </c>
      <c r="H184" s="24" t="n"/>
      <c r="I184" s="24" t="n"/>
      <c r="J184" s="25">
        <f>IF($D184="","",N(G184)+N(H184)-N(I184))</f>
        <v/>
      </c>
      <c r="K184" s="24" t="n"/>
      <c r="L184" s="25">
        <f>IF($D184="","",N(J184)-N(K184))</f>
        <v/>
      </c>
    </row>
    <row r="185">
      <c r="A185" s="35" t="n"/>
      <c r="B185" s="9" t="n"/>
      <c r="C185" s="9" t="n"/>
      <c r="D185" s="9" t="n"/>
      <c r="E185" s="40" t="n"/>
      <c r="F185" s="25">
        <f>IF($D185="","",IFERROR(VLOOKUP($D185,'Products &amp; Pricing'!$A$14:$D$41,4,FALSE),""))</f>
        <v/>
      </c>
      <c r="G185" s="25">
        <f>IF($D185="","",N(E185)*N(F185))</f>
        <v/>
      </c>
      <c r="H185" s="24" t="n"/>
      <c r="I185" s="24" t="n"/>
      <c r="J185" s="25">
        <f>IF($D185="","",N(G185)+N(H185)-N(I185))</f>
        <v/>
      </c>
      <c r="K185" s="24" t="n"/>
      <c r="L185" s="25">
        <f>IF($D185="","",N(J185)-N(K185))</f>
        <v/>
      </c>
    </row>
    <row r="186">
      <c r="A186" s="35" t="n"/>
      <c r="B186" s="9" t="n"/>
      <c r="C186" s="9" t="n"/>
      <c r="D186" s="9" t="n"/>
      <c r="E186" s="40" t="n"/>
      <c r="F186" s="25">
        <f>IF($D186="","",IFERROR(VLOOKUP($D186,'Products &amp; Pricing'!$A$14:$D$41,4,FALSE),""))</f>
        <v/>
      </c>
      <c r="G186" s="25">
        <f>IF($D186="","",N(E186)*N(F186))</f>
        <v/>
      </c>
      <c r="H186" s="24" t="n"/>
      <c r="I186" s="24" t="n"/>
      <c r="J186" s="25">
        <f>IF($D186="","",N(G186)+N(H186)-N(I186))</f>
        <v/>
      </c>
      <c r="K186" s="24" t="n"/>
      <c r="L186" s="25">
        <f>IF($D186="","",N(J186)-N(K186))</f>
        <v/>
      </c>
    </row>
    <row r="187">
      <c r="A187" s="35" t="n"/>
      <c r="B187" s="9" t="n"/>
      <c r="C187" s="9" t="n"/>
      <c r="D187" s="9" t="n"/>
      <c r="E187" s="40" t="n"/>
      <c r="F187" s="25">
        <f>IF($D187="","",IFERROR(VLOOKUP($D187,'Products &amp; Pricing'!$A$14:$D$41,4,FALSE),""))</f>
        <v/>
      </c>
      <c r="G187" s="25">
        <f>IF($D187="","",N(E187)*N(F187))</f>
        <v/>
      </c>
      <c r="H187" s="24" t="n"/>
      <c r="I187" s="24" t="n"/>
      <c r="J187" s="25">
        <f>IF($D187="","",N(G187)+N(H187)-N(I187))</f>
        <v/>
      </c>
      <c r="K187" s="24" t="n"/>
      <c r="L187" s="25">
        <f>IF($D187="","",N(J187)-N(K187))</f>
        <v/>
      </c>
    </row>
    <row r="188">
      <c r="A188" s="35" t="n"/>
      <c r="B188" s="9" t="n"/>
      <c r="C188" s="9" t="n"/>
      <c r="D188" s="9" t="n"/>
      <c r="E188" s="40" t="n"/>
      <c r="F188" s="25">
        <f>IF($D188="","",IFERROR(VLOOKUP($D188,'Products &amp; Pricing'!$A$14:$D$41,4,FALSE),""))</f>
        <v/>
      </c>
      <c r="G188" s="25">
        <f>IF($D188="","",N(E188)*N(F188))</f>
        <v/>
      </c>
      <c r="H188" s="24" t="n"/>
      <c r="I188" s="24" t="n"/>
      <c r="J188" s="25">
        <f>IF($D188="","",N(G188)+N(H188)-N(I188))</f>
        <v/>
      </c>
      <c r="K188" s="24" t="n"/>
      <c r="L188" s="25">
        <f>IF($D188="","",N(J188)-N(K188))</f>
        <v/>
      </c>
    </row>
    <row r="189">
      <c r="A189" s="35" t="n"/>
      <c r="B189" s="9" t="n"/>
      <c r="C189" s="9" t="n"/>
      <c r="D189" s="9" t="n"/>
      <c r="E189" s="40" t="n"/>
      <c r="F189" s="25">
        <f>IF($D189="","",IFERROR(VLOOKUP($D189,'Products &amp; Pricing'!$A$14:$D$41,4,FALSE),""))</f>
        <v/>
      </c>
      <c r="G189" s="25">
        <f>IF($D189="","",N(E189)*N(F189))</f>
        <v/>
      </c>
      <c r="H189" s="24" t="n"/>
      <c r="I189" s="24" t="n"/>
      <c r="J189" s="25">
        <f>IF($D189="","",N(G189)+N(H189)-N(I189))</f>
        <v/>
      </c>
      <c r="K189" s="24" t="n"/>
      <c r="L189" s="25">
        <f>IF($D189="","",N(J189)-N(K189))</f>
        <v/>
      </c>
    </row>
    <row r="190">
      <c r="A190" s="35" t="n"/>
      <c r="B190" s="9" t="n"/>
      <c r="C190" s="9" t="n"/>
      <c r="D190" s="9" t="n"/>
      <c r="E190" s="40" t="n"/>
      <c r="F190" s="25">
        <f>IF($D190="","",IFERROR(VLOOKUP($D190,'Products &amp; Pricing'!$A$14:$D$41,4,FALSE),""))</f>
        <v/>
      </c>
      <c r="G190" s="25">
        <f>IF($D190="","",N(E190)*N(F190))</f>
        <v/>
      </c>
      <c r="H190" s="24" t="n"/>
      <c r="I190" s="24" t="n"/>
      <c r="J190" s="25">
        <f>IF($D190="","",N(G190)+N(H190)-N(I190))</f>
        <v/>
      </c>
      <c r="K190" s="24" t="n"/>
      <c r="L190" s="25">
        <f>IF($D190="","",N(J190)-N(K190))</f>
        <v/>
      </c>
    </row>
    <row r="191">
      <c r="A191" s="35" t="n"/>
      <c r="B191" s="9" t="n"/>
      <c r="C191" s="9" t="n"/>
      <c r="D191" s="9" t="n"/>
      <c r="E191" s="40" t="n"/>
      <c r="F191" s="25">
        <f>IF($D191="","",IFERROR(VLOOKUP($D191,'Products &amp; Pricing'!$A$14:$D$41,4,FALSE),""))</f>
        <v/>
      </c>
      <c r="G191" s="25">
        <f>IF($D191="","",N(E191)*N(F191))</f>
        <v/>
      </c>
      <c r="H191" s="24" t="n"/>
      <c r="I191" s="24" t="n"/>
      <c r="J191" s="25">
        <f>IF($D191="","",N(G191)+N(H191)-N(I191))</f>
        <v/>
      </c>
      <c r="K191" s="24" t="n"/>
      <c r="L191" s="25">
        <f>IF($D191="","",N(J191)-N(K191))</f>
        <v/>
      </c>
    </row>
    <row r="192">
      <c r="A192" s="35" t="n"/>
      <c r="B192" s="9" t="n"/>
      <c r="C192" s="9" t="n"/>
      <c r="D192" s="9" t="n"/>
      <c r="E192" s="40" t="n"/>
      <c r="F192" s="25">
        <f>IF($D192="","",IFERROR(VLOOKUP($D192,'Products &amp; Pricing'!$A$14:$D$41,4,FALSE),""))</f>
        <v/>
      </c>
      <c r="G192" s="25">
        <f>IF($D192="","",N(E192)*N(F192))</f>
        <v/>
      </c>
      <c r="H192" s="24" t="n"/>
      <c r="I192" s="24" t="n"/>
      <c r="J192" s="25">
        <f>IF($D192="","",N(G192)+N(H192)-N(I192))</f>
        <v/>
      </c>
      <c r="K192" s="24" t="n"/>
      <c r="L192" s="25">
        <f>IF($D192="","",N(J192)-N(K192))</f>
        <v/>
      </c>
    </row>
    <row r="193">
      <c r="A193" s="35" t="n"/>
      <c r="B193" s="9" t="n"/>
      <c r="C193" s="9" t="n"/>
      <c r="D193" s="9" t="n"/>
      <c r="E193" s="40" t="n"/>
      <c r="F193" s="25">
        <f>IF($D193="","",IFERROR(VLOOKUP($D193,'Products &amp; Pricing'!$A$14:$D$41,4,FALSE),""))</f>
        <v/>
      </c>
      <c r="G193" s="25">
        <f>IF($D193="","",N(E193)*N(F193))</f>
        <v/>
      </c>
      <c r="H193" s="24" t="n"/>
      <c r="I193" s="24" t="n"/>
      <c r="J193" s="25">
        <f>IF($D193="","",N(G193)+N(H193)-N(I193))</f>
        <v/>
      </c>
      <c r="K193" s="24" t="n"/>
      <c r="L193" s="25">
        <f>IF($D193="","",N(J193)-N(K193))</f>
        <v/>
      </c>
    </row>
    <row r="194">
      <c r="A194" s="35" t="n"/>
      <c r="B194" s="9" t="n"/>
      <c r="C194" s="9" t="n"/>
      <c r="D194" s="9" t="n"/>
      <c r="E194" s="40" t="n"/>
      <c r="F194" s="25">
        <f>IF($D194="","",IFERROR(VLOOKUP($D194,'Products &amp; Pricing'!$A$14:$D$41,4,FALSE),""))</f>
        <v/>
      </c>
      <c r="G194" s="25">
        <f>IF($D194="","",N(E194)*N(F194))</f>
        <v/>
      </c>
      <c r="H194" s="24" t="n"/>
      <c r="I194" s="24" t="n"/>
      <c r="J194" s="25">
        <f>IF($D194="","",N(G194)+N(H194)-N(I194))</f>
        <v/>
      </c>
      <c r="K194" s="24" t="n"/>
      <c r="L194" s="25">
        <f>IF($D194="","",N(J194)-N(K194))</f>
        <v/>
      </c>
    </row>
    <row r="195">
      <c r="A195" s="35" t="n"/>
      <c r="B195" s="9" t="n"/>
      <c r="C195" s="9" t="n"/>
      <c r="D195" s="9" t="n"/>
      <c r="E195" s="40" t="n"/>
      <c r="F195" s="25">
        <f>IF($D195="","",IFERROR(VLOOKUP($D195,'Products &amp; Pricing'!$A$14:$D$41,4,FALSE),""))</f>
        <v/>
      </c>
      <c r="G195" s="25">
        <f>IF($D195="","",N(E195)*N(F195))</f>
        <v/>
      </c>
      <c r="H195" s="24" t="n"/>
      <c r="I195" s="24" t="n"/>
      <c r="J195" s="25">
        <f>IF($D195="","",N(G195)+N(H195)-N(I195))</f>
        <v/>
      </c>
      <c r="K195" s="24" t="n"/>
      <c r="L195" s="25">
        <f>IF($D195="","",N(J195)-N(K195))</f>
        <v/>
      </c>
    </row>
    <row r="196">
      <c r="A196" s="35" t="n"/>
      <c r="B196" s="9" t="n"/>
      <c r="C196" s="9" t="n"/>
      <c r="D196" s="9" t="n"/>
      <c r="E196" s="40" t="n"/>
      <c r="F196" s="25">
        <f>IF($D196="","",IFERROR(VLOOKUP($D196,'Products &amp; Pricing'!$A$14:$D$41,4,FALSE),""))</f>
        <v/>
      </c>
      <c r="G196" s="25">
        <f>IF($D196="","",N(E196)*N(F196))</f>
        <v/>
      </c>
      <c r="H196" s="24" t="n"/>
      <c r="I196" s="24" t="n"/>
      <c r="J196" s="25">
        <f>IF($D196="","",N(G196)+N(H196)-N(I196))</f>
        <v/>
      </c>
      <c r="K196" s="24" t="n"/>
      <c r="L196" s="25">
        <f>IF($D196="","",N(J196)-N(K196))</f>
        <v/>
      </c>
    </row>
    <row r="197">
      <c r="A197" s="35" t="n"/>
      <c r="B197" s="9" t="n"/>
      <c r="C197" s="9" t="n"/>
      <c r="D197" s="9" t="n"/>
      <c r="E197" s="40" t="n"/>
      <c r="F197" s="25">
        <f>IF($D197="","",IFERROR(VLOOKUP($D197,'Products &amp; Pricing'!$A$14:$D$41,4,FALSE),""))</f>
        <v/>
      </c>
      <c r="G197" s="25">
        <f>IF($D197="","",N(E197)*N(F197))</f>
        <v/>
      </c>
      <c r="H197" s="24" t="n"/>
      <c r="I197" s="24" t="n"/>
      <c r="J197" s="25">
        <f>IF($D197="","",N(G197)+N(H197)-N(I197))</f>
        <v/>
      </c>
      <c r="K197" s="24" t="n"/>
      <c r="L197" s="25">
        <f>IF($D197="","",N(J197)-N(K197))</f>
        <v/>
      </c>
    </row>
    <row r="198">
      <c r="A198" s="35" t="n"/>
      <c r="B198" s="9" t="n"/>
      <c r="C198" s="9" t="n"/>
      <c r="D198" s="9" t="n"/>
      <c r="E198" s="40" t="n"/>
      <c r="F198" s="25">
        <f>IF($D198="","",IFERROR(VLOOKUP($D198,'Products &amp; Pricing'!$A$14:$D$41,4,FALSE),""))</f>
        <v/>
      </c>
      <c r="G198" s="25">
        <f>IF($D198="","",N(E198)*N(F198))</f>
        <v/>
      </c>
      <c r="H198" s="24" t="n"/>
      <c r="I198" s="24" t="n"/>
      <c r="J198" s="25">
        <f>IF($D198="","",N(G198)+N(H198)-N(I198))</f>
        <v/>
      </c>
      <c r="K198" s="24" t="n"/>
      <c r="L198" s="25">
        <f>IF($D198="","",N(J198)-N(K198))</f>
        <v/>
      </c>
    </row>
    <row r="199">
      <c r="A199" s="35" t="n"/>
      <c r="B199" s="9" t="n"/>
      <c r="C199" s="9" t="n"/>
      <c r="D199" s="9" t="n"/>
      <c r="E199" s="40" t="n"/>
      <c r="F199" s="25">
        <f>IF($D199="","",IFERROR(VLOOKUP($D199,'Products &amp; Pricing'!$A$14:$D$41,4,FALSE),""))</f>
        <v/>
      </c>
      <c r="G199" s="25">
        <f>IF($D199="","",N(E199)*N(F199))</f>
        <v/>
      </c>
      <c r="H199" s="24" t="n"/>
      <c r="I199" s="24" t="n"/>
      <c r="J199" s="25">
        <f>IF($D199="","",N(G199)+N(H199)-N(I199))</f>
        <v/>
      </c>
      <c r="K199" s="24" t="n"/>
      <c r="L199" s="25">
        <f>IF($D199="","",N(J199)-N(K199))</f>
        <v/>
      </c>
    </row>
    <row r="200">
      <c r="A200" s="35" t="n"/>
      <c r="B200" s="9" t="n"/>
      <c r="C200" s="9" t="n"/>
      <c r="D200" s="9" t="n"/>
      <c r="E200" s="40" t="n"/>
      <c r="F200" s="25">
        <f>IF($D200="","",IFERROR(VLOOKUP($D200,'Products &amp; Pricing'!$A$14:$D$41,4,FALSE),""))</f>
        <v/>
      </c>
      <c r="G200" s="25">
        <f>IF($D200="","",N(E200)*N(F200))</f>
        <v/>
      </c>
      <c r="H200" s="24" t="n"/>
      <c r="I200" s="24" t="n"/>
      <c r="J200" s="25">
        <f>IF($D200="","",N(G200)+N(H200)-N(I200))</f>
        <v/>
      </c>
      <c r="K200" s="24" t="n"/>
      <c r="L200" s="25">
        <f>IF($D200="","",N(J200)-N(K200))</f>
        <v/>
      </c>
    </row>
    <row r="201">
      <c r="A201" s="35" t="n"/>
      <c r="B201" s="9" t="n"/>
      <c r="C201" s="9" t="n"/>
      <c r="D201" s="9" t="n"/>
      <c r="E201" s="40" t="n"/>
      <c r="F201" s="25">
        <f>IF($D201="","",IFERROR(VLOOKUP($D201,'Products &amp; Pricing'!$A$14:$D$41,4,FALSE),""))</f>
        <v/>
      </c>
      <c r="G201" s="25">
        <f>IF($D201="","",N(E201)*N(F201))</f>
        <v/>
      </c>
      <c r="H201" s="24" t="n"/>
      <c r="I201" s="24" t="n"/>
      <c r="J201" s="25">
        <f>IF($D201="","",N(G201)+N(H201)-N(I201))</f>
        <v/>
      </c>
      <c r="K201" s="24" t="n"/>
      <c r="L201" s="25">
        <f>IF($D201="","",N(J201)-N(K201))</f>
        <v/>
      </c>
    </row>
    <row r="202">
      <c r="A202" s="35" t="n"/>
      <c r="B202" s="9" t="n"/>
      <c r="C202" s="9" t="n"/>
      <c r="D202" s="9" t="n"/>
      <c r="E202" s="40" t="n"/>
      <c r="F202" s="25">
        <f>IF($D202="","",IFERROR(VLOOKUP($D202,'Products &amp; Pricing'!$A$14:$D$41,4,FALSE),""))</f>
        <v/>
      </c>
      <c r="G202" s="25">
        <f>IF($D202="","",N(E202)*N(F202))</f>
        <v/>
      </c>
      <c r="H202" s="24" t="n"/>
      <c r="I202" s="24" t="n"/>
      <c r="J202" s="25">
        <f>IF($D202="","",N(G202)+N(H202)-N(I202))</f>
        <v/>
      </c>
      <c r="K202" s="24" t="n"/>
      <c r="L202" s="25">
        <f>IF($D202="","",N(J202)-N(K202))</f>
        <v/>
      </c>
    </row>
    <row r="203">
      <c r="A203" s="35" t="n"/>
      <c r="B203" s="9" t="n"/>
      <c r="C203" s="9" t="n"/>
      <c r="D203" s="9" t="n"/>
      <c r="E203" s="40" t="n"/>
      <c r="F203" s="25">
        <f>IF($D203="","",IFERROR(VLOOKUP($D203,'Products &amp; Pricing'!$A$14:$D$41,4,FALSE),""))</f>
        <v/>
      </c>
      <c r="G203" s="25">
        <f>IF($D203="","",N(E203)*N(F203))</f>
        <v/>
      </c>
      <c r="H203" s="24" t="n"/>
      <c r="I203" s="24" t="n"/>
      <c r="J203" s="25">
        <f>IF($D203="","",N(G203)+N(H203)-N(I203))</f>
        <v/>
      </c>
      <c r="K203" s="24" t="n"/>
      <c r="L203" s="25">
        <f>IF($D203="","",N(J203)-N(K203))</f>
        <v/>
      </c>
    </row>
    <row r="204">
      <c r="A204" s="35" t="n"/>
      <c r="B204" s="9" t="n"/>
      <c r="C204" s="9" t="n"/>
      <c r="D204" s="9" t="n"/>
      <c r="E204" s="40" t="n"/>
      <c r="F204" s="25">
        <f>IF($D204="","",IFERROR(VLOOKUP($D204,'Products &amp; Pricing'!$A$14:$D$41,4,FALSE),""))</f>
        <v/>
      </c>
      <c r="G204" s="25">
        <f>IF($D204="","",N(E204)*N(F204))</f>
        <v/>
      </c>
      <c r="H204" s="24" t="n"/>
      <c r="I204" s="24" t="n"/>
      <c r="J204" s="25">
        <f>IF($D204="","",N(G204)+N(H204)-N(I204))</f>
        <v/>
      </c>
      <c r="K204" s="24" t="n"/>
      <c r="L204" s="25">
        <f>IF($D204="","",N(J204)-N(K204))</f>
        <v/>
      </c>
    </row>
    <row r="205">
      <c r="A205" s="35" t="n"/>
      <c r="B205" s="9" t="n"/>
      <c r="C205" s="9" t="n"/>
      <c r="D205" s="9" t="n"/>
      <c r="E205" s="40" t="n"/>
      <c r="F205" s="25">
        <f>IF($D205="","",IFERROR(VLOOKUP($D205,'Products &amp; Pricing'!$A$14:$D$41,4,FALSE),""))</f>
        <v/>
      </c>
      <c r="G205" s="25">
        <f>IF($D205="","",N(E205)*N(F205))</f>
        <v/>
      </c>
      <c r="H205" s="24" t="n"/>
      <c r="I205" s="24" t="n"/>
      <c r="J205" s="25">
        <f>IF($D205="","",N(G205)+N(H205)-N(I205))</f>
        <v/>
      </c>
      <c r="K205" s="24" t="n"/>
      <c r="L205" s="25">
        <f>IF($D205="","",N(J205)-N(K205))</f>
        <v/>
      </c>
    </row>
    <row r="206">
      <c r="A206" s="35" t="n"/>
      <c r="B206" s="9" t="n"/>
      <c r="C206" s="9" t="n"/>
      <c r="D206" s="9" t="n"/>
      <c r="E206" s="40" t="n"/>
      <c r="F206" s="25">
        <f>IF($D206="","",IFERROR(VLOOKUP($D206,'Products &amp; Pricing'!$A$14:$D$41,4,FALSE),""))</f>
        <v/>
      </c>
      <c r="G206" s="25">
        <f>IF($D206="","",N(E206)*N(F206))</f>
        <v/>
      </c>
      <c r="H206" s="24" t="n"/>
      <c r="I206" s="24" t="n"/>
      <c r="J206" s="25">
        <f>IF($D206="","",N(G206)+N(H206)-N(I206))</f>
        <v/>
      </c>
      <c r="K206" s="24" t="n"/>
      <c r="L206" s="25">
        <f>IF($D206="","",N(J206)-N(K206))</f>
        <v/>
      </c>
    </row>
    <row r="207">
      <c r="A207" s="35" t="n"/>
      <c r="B207" s="9" t="n"/>
      <c r="C207" s="9" t="n"/>
      <c r="D207" s="9" t="n"/>
      <c r="E207" s="40" t="n"/>
      <c r="F207" s="25">
        <f>IF($D207="","",IFERROR(VLOOKUP($D207,'Products &amp; Pricing'!$A$14:$D$41,4,FALSE),""))</f>
        <v/>
      </c>
      <c r="G207" s="25">
        <f>IF($D207="","",N(E207)*N(F207))</f>
        <v/>
      </c>
      <c r="H207" s="24" t="n"/>
      <c r="I207" s="24" t="n"/>
      <c r="J207" s="25">
        <f>IF($D207="","",N(G207)+N(H207)-N(I207))</f>
        <v/>
      </c>
      <c r="K207" s="24" t="n"/>
      <c r="L207" s="25">
        <f>IF($D207="","",N(J207)-N(K207))</f>
        <v/>
      </c>
    </row>
    <row r="208">
      <c r="A208" s="35" t="n"/>
      <c r="B208" s="9" t="n"/>
      <c r="C208" s="9" t="n"/>
      <c r="D208" s="9" t="n"/>
      <c r="E208" s="40" t="n"/>
      <c r="F208" s="25">
        <f>IF($D208="","",IFERROR(VLOOKUP($D208,'Products &amp; Pricing'!$A$14:$D$41,4,FALSE),""))</f>
        <v/>
      </c>
      <c r="G208" s="25">
        <f>IF($D208="","",N(E208)*N(F208))</f>
        <v/>
      </c>
      <c r="H208" s="24" t="n"/>
      <c r="I208" s="24" t="n"/>
      <c r="J208" s="25">
        <f>IF($D208="","",N(G208)+N(H208)-N(I208))</f>
        <v/>
      </c>
      <c r="K208" s="24" t="n"/>
      <c r="L208" s="25">
        <f>IF($D208="","",N(J208)-N(K208))</f>
        <v/>
      </c>
    </row>
    <row r="209">
      <c r="A209" s="35" t="n"/>
      <c r="B209" s="9" t="n"/>
      <c r="C209" s="9" t="n"/>
      <c r="D209" s="9" t="n"/>
      <c r="E209" s="40" t="n"/>
      <c r="F209" s="25">
        <f>IF($D209="","",IFERROR(VLOOKUP($D209,'Products &amp; Pricing'!$A$14:$D$41,4,FALSE),""))</f>
        <v/>
      </c>
      <c r="G209" s="25">
        <f>IF($D209="","",N(E209)*N(F209))</f>
        <v/>
      </c>
      <c r="H209" s="24" t="n"/>
      <c r="I209" s="24" t="n"/>
      <c r="J209" s="25">
        <f>IF($D209="","",N(G209)+N(H209)-N(I209))</f>
        <v/>
      </c>
      <c r="K209" s="24" t="n"/>
      <c r="L209" s="25">
        <f>IF($D209="","",N(J209)-N(K209))</f>
        <v/>
      </c>
    </row>
    <row r="210">
      <c r="A210" s="35" t="n"/>
      <c r="B210" s="9" t="n"/>
      <c r="C210" s="9" t="n"/>
      <c r="D210" s="9" t="n"/>
      <c r="E210" s="40" t="n"/>
      <c r="F210" s="25">
        <f>IF($D210="","",IFERROR(VLOOKUP($D210,'Products &amp; Pricing'!$A$14:$D$41,4,FALSE),""))</f>
        <v/>
      </c>
      <c r="G210" s="25">
        <f>IF($D210="","",N(E210)*N(F210))</f>
        <v/>
      </c>
      <c r="H210" s="24" t="n"/>
      <c r="I210" s="24" t="n"/>
      <c r="J210" s="25">
        <f>IF($D210="","",N(G210)+N(H210)-N(I210))</f>
        <v/>
      </c>
      <c r="K210" s="24" t="n"/>
      <c r="L210" s="25">
        <f>IF($D210="","",N(J210)-N(K210))</f>
        <v/>
      </c>
    </row>
    <row r="211">
      <c r="A211" s="35" t="n"/>
      <c r="B211" s="9" t="n"/>
      <c r="C211" s="9" t="n"/>
      <c r="D211" s="9" t="n"/>
      <c r="E211" s="40" t="n"/>
      <c r="F211" s="25">
        <f>IF($D211="","",IFERROR(VLOOKUP($D211,'Products &amp; Pricing'!$A$14:$D$41,4,FALSE),""))</f>
        <v/>
      </c>
      <c r="G211" s="25">
        <f>IF($D211="","",N(E211)*N(F211))</f>
        <v/>
      </c>
      <c r="H211" s="24" t="n"/>
      <c r="I211" s="24" t="n"/>
      <c r="J211" s="25">
        <f>IF($D211="","",N(G211)+N(H211)-N(I211))</f>
        <v/>
      </c>
      <c r="K211" s="24" t="n"/>
      <c r="L211" s="25">
        <f>IF($D211="","",N(J211)-N(K211))</f>
        <v/>
      </c>
    </row>
    <row r="212">
      <c r="A212" s="35" t="n"/>
      <c r="B212" s="9" t="n"/>
      <c r="C212" s="9" t="n"/>
      <c r="D212" s="9" t="n"/>
      <c r="E212" s="40" t="n"/>
      <c r="F212" s="25">
        <f>IF($D212="","",IFERROR(VLOOKUP($D212,'Products &amp; Pricing'!$A$14:$D$41,4,FALSE),""))</f>
        <v/>
      </c>
      <c r="G212" s="25">
        <f>IF($D212="","",N(E212)*N(F212))</f>
        <v/>
      </c>
      <c r="H212" s="24" t="n"/>
      <c r="I212" s="24" t="n"/>
      <c r="J212" s="25">
        <f>IF($D212="","",N(G212)+N(H212)-N(I212))</f>
        <v/>
      </c>
      <c r="K212" s="24" t="n"/>
      <c r="L212" s="25">
        <f>IF($D212="","",N(J212)-N(K212))</f>
        <v/>
      </c>
    </row>
    <row r="213">
      <c r="A213" s="35" t="n"/>
      <c r="B213" s="9" t="n"/>
      <c r="C213" s="9" t="n"/>
      <c r="D213" s="9" t="n"/>
      <c r="E213" s="40" t="n"/>
      <c r="F213" s="25">
        <f>IF($D213="","",IFERROR(VLOOKUP($D213,'Products &amp; Pricing'!$A$14:$D$41,4,FALSE),""))</f>
        <v/>
      </c>
      <c r="G213" s="25">
        <f>IF($D213="","",N(E213)*N(F213))</f>
        <v/>
      </c>
      <c r="H213" s="24" t="n"/>
      <c r="I213" s="24" t="n"/>
      <c r="J213" s="25">
        <f>IF($D213="","",N(G213)+N(H213)-N(I213))</f>
        <v/>
      </c>
      <c r="K213" s="24" t="n"/>
      <c r="L213" s="25">
        <f>IF($D213="","",N(J213)-N(K213))</f>
        <v/>
      </c>
    </row>
    <row r="214">
      <c r="A214" s="35" t="n"/>
      <c r="B214" s="9" t="n"/>
      <c r="C214" s="9" t="n"/>
      <c r="D214" s="9" t="n"/>
      <c r="E214" s="40" t="n"/>
      <c r="F214" s="25">
        <f>IF($D214="","",IFERROR(VLOOKUP($D214,'Products &amp; Pricing'!$A$14:$D$41,4,FALSE),""))</f>
        <v/>
      </c>
      <c r="G214" s="25">
        <f>IF($D214="","",N(E214)*N(F214))</f>
        <v/>
      </c>
      <c r="H214" s="24" t="n"/>
      <c r="I214" s="24" t="n"/>
      <c r="J214" s="25">
        <f>IF($D214="","",N(G214)+N(H214)-N(I214))</f>
        <v/>
      </c>
      <c r="K214" s="24" t="n"/>
      <c r="L214" s="25">
        <f>IF($D214="","",N(J214)-N(K214))</f>
        <v/>
      </c>
    </row>
    <row r="215">
      <c r="A215" s="35" t="n"/>
      <c r="B215" s="9" t="n"/>
      <c r="C215" s="9" t="n"/>
      <c r="D215" s="9" t="n"/>
      <c r="E215" s="40" t="n"/>
      <c r="F215" s="25">
        <f>IF($D215="","",IFERROR(VLOOKUP($D215,'Products &amp; Pricing'!$A$14:$D$41,4,FALSE),""))</f>
        <v/>
      </c>
      <c r="G215" s="25">
        <f>IF($D215="","",N(E215)*N(F215))</f>
        <v/>
      </c>
      <c r="H215" s="24" t="n"/>
      <c r="I215" s="24" t="n"/>
      <c r="J215" s="25">
        <f>IF($D215="","",N(G215)+N(H215)-N(I215))</f>
        <v/>
      </c>
      <c r="K215" s="24" t="n"/>
      <c r="L215" s="25">
        <f>IF($D215="","",N(J215)-N(K215))</f>
        <v/>
      </c>
    </row>
    <row r="216">
      <c r="A216" s="35" t="n"/>
      <c r="B216" s="9" t="n"/>
      <c r="C216" s="9" t="n"/>
      <c r="D216" s="9" t="n"/>
      <c r="E216" s="40" t="n"/>
      <c r="F216" s="25">
        <f>IF($D216="","",IFERROR(VLOOKUP($D216,'Products &amp; Pricing'!$A$14:$D$41,4,FALSE),""))</f>
        <v/>
      </c>
      <c r="G216" s="25">
        <f>IF($D216="","",N(E216)*N(F216))</f>
        <v/>
      </c>
      <c r="H216" s="24" t="n"/>
      <c r="I216" s="24" t="n"/>
      <c r="J216" s="25">
        <f>IF($D216="","",N(G216)+N(H216)-N(I216))</f>
        <v/>
      </c>
      <c r="K216" s="24" t="n"/>
      <c r="L216" s="25">
        <f>IF($D216="","",N(J216)-N(K216))</f>
        <v/>
      </c>
    </row>
    <row r="217">
      <c r="A217" s="35" t="n"/>
      <c r="B217" s="9" t="n"/>
      <c r="C217" s="9" t="n"/>
      <c r="D217" s="9" t="n"/>
      <c r="E217" s="40" t="n"/>
      <c r="F217" s="25">
        <f>IF($D217="","",IFERROR(VLOOKUP($D217,'Products &amp; Pricing'!$A$14:$D$41,4,FALSE),""))</f>
        <v/>
      </c>
      <c r="G217" s="25">
        <f>IF($D217="","",N(E217)*N(F217))</f>
        <v/>
      </c>
      <c r="H217" s="24" t="n"/>
      <c r="I217" s="24" t="n"/>
      <c r="J217" s="25">
        <f>IF($D217="","",N(G217)+N(H217)-N(I217))</f>
        <v/>
      </c>
      <c r="K217" s="24" t="n"/>
      <c r="L217" s="25">
        <f>IF($D217="","",N(J217)-N(K217))</f>
        <v/>
      </c>
    </row>
    <row r="218">
      <c r="A218" s="35" t="n"/>
      <c r="B218" s="9" t="n"/>
      <c r="C218" s="9" t="n"/>
      <c r="D218" s="9" t="n"/>
      <c r="E218" s="40" t="n"/>
      <c r="F218" s="25">
        <f>IF($D218="","",IFERROR(VLOOKUP($D218,'Products &amp; Pricing'!$A$14:$D$41,4,FALSE),""))</f>
        <v/>
      </c>
      <c r="G218" s="25">
        <f>IF($D218="","",N(E218)*N(F218))</f>
        <v/>
      </c>
      <c r="H218" s="24" t="n"/>
      <c r="I218" s="24" t="n"/>
      <c r="J218" s="25">
        <f>IF($D218="","",N(G218)+N(H218)-N(I218))</f>
        <v/>
      </c>
      <c r="K218" s="24" t="n"/>
      <c r="L218" s="25">
        <f>IF($D218="","",N(J218)-N(K218))</f>
        <v/>
      </c>
    </row>
    <row r="219">
      <c r="A219" s="35" t="n"/>
      <c r="B219" s="9" t="n"/>
      <c r="C219" s="9" t="n"/>
      <c r="D219" s="9" t="n"/>
      <c r="E219" s="40" t="n"/>
      <c r="F219" s="25">
        <f>IF($D219="","",IFERROR(VLOOKUP($D219,'Products &amp; Pricing'!$A$14:$D$41,4,FALSE),""))</f>
        <v/>
      </c>
      <c r="G219" s="25">
        <f>IF($D219="","",N(E219)*N(F219))</f>
        <v/>
      </c>
      <c r="H219" s="24" t="n"/>
      <c r="I219" s="24" t="n"/>
      <c r="J219" s="25">
        <f>IF($D219="","",N(G219)+N(H219)-N(I219))</f>
        <v/>
      </c>
      <c r="K219" s="24" t="n"/>
      <c r="L219" s="25">
        <f>IF($D219="","",N(J219)-N(K219))</f>
        <v/>
      </c>
    </row>
    <row r="220">
      <c r="A220" s="35" t="n"/>
      <c r="B220" s="9" t="n"/>
      <c r="C220" s="9" t="n"/>
      <c r="D220" s="9" t="n"/>
      <c r="E220" s="40" t="n"/>
      <c r="F220" s="25">
        <f>IF($D220="","",IFERROR(VLOOKUP($D220,'Products &amp; Pricing'!$A$14:$D$41,4,FALSE),""))</f>
        <v/>
      </c>
      <c r="G220" s="25">
        <f>IF($D220="","",N(E220)*N(F220))</f>
        <v/>
      </c>
      <c r="H220" s="24" t="n"/>
      <c r="I220" s="24" t="n"/>
      <c r="J220" s="25">
        <f>IF($D220="","",N(G220)+N(H220)-N(I220))</f>
        <v/>
      </c>
      <c r="K220" s="24" t="n"/>
      <c r="L220" s="25">
        <f>IF($D220="","",N(J220)-N(K220))</f>
        <v/>
      </c>
    </row>
    <row r="221">
      <c r="A221" s="35" t="n"/>
      <c r="B221" s="9" t="n"/>
      <c r="C221" s="9" t="n"/>
      <c r="D221" s="9" t="n"/>
      <c r="E221" s="40" t="n"/>
      <c r="F221" s="25">
        <f>IF($D221="","",IFERROR(VLOOKUP($D221,'Products &amp; Pricing'!$A$14:$D$41,4,FALSE),""))</f>
        <v/>
      </c>
      <c r="G221" s="25">
        <f>IF($D221="","",N(E221)*N(F221))</f>
        <v/>
      </c>
      <c r="H221" s="24" t="n"/>
      <c r="I221" s="24" t="n"/>
      <c r="J221" s="25">
        <f>IF($D221="","",N(G221)+N(H221)-N(I221))</f>
        <v/>
      </c>
      <c r="K221" s="24" t="n"/>
      <c r="L221" s="25">
        <f>IF($D221="","",N(J221)-N(K221))</f>
        <v/>
      </c>
    </row>
    <row r="222">
      <c r="A222" s="35" t="n"/>
      <c r="B222" s="9" t="n"/>
      <c r="C222" s="9" t="n"/>
      <c r="D222" s="9" t="n"/>
      <c r="E222" s="40" t="n"/>
      <c r="F222" s="25">
        <f>IF($D222="","",IFERROR(VLOOKUP($D222,'Products &amp; Pricing'!$A$14:$D$41,4,FALSE),""))</f>
        <v/>
      </c>
      <c r="G222" s="25">
        <f>IF($D222="","",N(E222)*N(F222))</f>
        <v/>
      </c>
      <c r="H222" s="24" t="n"/>
      <c r="I222" s="24" t="n"/>
      <c r="J222" s="25">
        <f>IF($D222="","",N(G222)+N(H222)-N(I222))</f>
        <v/>
      </c>
      <c r="K222" s="24" t="n"/>
      <c r="L222" s="25">
        <f>IF($D222="","",N(J222)-N(K222))</f>
        <v/>
      </c>
    </row>
    <row r="223">
      <c r="A223" s="35" t="n"/>
      <c r="B223" s="9" t="n"/>
      <c r="C223" s="9" t="n"/>
      <c r="D223" s="9" t="n"/>
      <c r="E223" s="40" t="n"/>
      <c r="F223" s="25">
        <f>IF($D223="","",IFERROR(VLOOKUP($D223,'Products &amp; Pricing'!$A$14:$D$41,4,FALSE),""))</f>
        <v/>
      </c>
      <c r="G223" s="25">
        <f>IF($D223="","",N(E223)*N(F223))</f>
        <v/>
      </c>
      <c r="H223" s="24" t="n"/>
      <c r="I223" s="24" t="n"/>
      <c r="J223" s="25">
        <f>IF($D223="","",N(G223)+N(H223)-N(I223))</f>
        <v/>
      </c>
      <c r="K223" s="24" t="n"/>
      <c r="L223" s="25">
        <f>IF($D223="","",N(J223)-N(K223))</f>
        <v/>
      </c>
    </row>
    <row r="224">
      <c r="A224" s="35" t="n"/>
      <c r="B224" s="9" t="n"/>
      <c r="C224" s="9" t="n"/>
      <c r="D224" s="9" t="n"/>
      <c r="E224" s="40" t="n"/>
      <c r="F224" s="25">
        <f>IF($D224="","",IFERROR(VLOOKUP($D224,'Products &amp; Pricing'!$A$14:$D$41,4,FALSE),""))</f>
        <v/>
      </c>
      <c r="G224" s="25">
        <f>IF($D224="","",N(E224)*N(F224))</f>
        <v/>
      </c>
      <c r="H224" s="24" t="n"/>
      <c r="I224" s="24" t="n"/>
      <c r="J224" s="25">
        <f>IF($D224="","",N(G224)+N(H224)-N(I224))</f>
        <v/>
      </c>
      <c r="K224" s="24" t="n"/>
      <c r="L224" s="25">
        <f>IF($D224="","",N(J224)-N(K224))</f>
        <v/>
      </c>
    </row>
    <row r="225">
      <c r="A225" s="35" t="n"/>
      <c r="B225" s="9" t="n"/>
      <c r="C225" s="9" t="n"/>
      <c r="D225" s="9" t="n"/>
      <c r="E225" s="40" t="n"/>
      <c r="F225" s="25">
        <f>IF($D225="","",IFERROR(VLOOKUP($D225,'Products &amp; Pricing'!$A$14:$D$41,4,FALSE),""))</f>
        <v/>
      </c>
      <c r="G225" s="25">
        <f>IF($D225="","",N(E225)*N(F225))</f>
        <v/>
      </c>
      <c r="H225" s="24" t="n"/>
      <c r="I225" s="24" t="n"/>
      <c r="J225" s="25">
        <f>IF($D225="","",N(G225)+N(H225)-N(I225))</f>
        <v/>
      </c>
      <c r="K225" s="24" t="n"/>
      <c r="L225" s="25">
        <f>IF($D225="","",N(J225)-N(K225))</f>
        <v/>
      </c>
    </row>
    <row r="226">
      <c r="A226" s="35" t="n"/>
      <c r="B226" s="9" t="n"/>
      <c r="C226" s="9" t="n"/>
      <c r="D226" s="9" t="n"/>
      <c r="E226" s="40" t="n"/>
      <c r="F226" s="25">
        <f>IF($D226="","",IFERROR(VLOOKUP($D226,'Products &amp; Pricing'!$A$14:$D$41,4,FALSE),""))</f>
        <v/>
      </c>
      <c r="G226" s="25">
        <f>IF($D226="","",N(E226)*N(F226))</f>
        <v/>
      </c>
      <c r="H226" s="24" t="n"/>
      <c r="I226" s="24" t="n"/>
      <c r="J226" s="25">
        <f>IF($D226="","",N(G226)+N(H226)-N(I226))</f>
        <v/>
      </c>
      <c r="K226" s="24" t="n"/>
      <c r="L226" s="25">
        <f>IF($D226="","",N(J226)-N(K226))</f>
        <v/>
      </c>
    </row>
    <row r="227">
      <c r="A227" s="35" t="n"/>
      <c r="B227" s="9" t="n"/>
      <c r="C227" s="9" t="n"/>
      <c r="D227" s="9" t="n"/>
      <c r="E227" s="40" t="n"/>
      <c r="F227" s="25">
        <f>IF($D227="","",IFERROR(VLOOKUP($D227,'Products &amp; Pricing'!$A$14:$D$41,4,FALSE),""))</f>
        <v/>
      </c>
      <c r="G227" s="25">
        <f>IF($D227="","",N(E227)*N(F227))</f>
        <v/>
      </c>
      <c r="H227" s="24" t="n"/>
      <c r="I227" s="24" t="n"/>
      <c r="J227" s="25">
        <f>IF($D227="","",N(G227)+N(H227)-N(I227))</f>
        <v/>
      </c>
      <c r="K227" s="24" t="n"/>
      <c r="L227" s="25">
        <f>IF($D227="","",N(J227)-N(K227))</f>
        <v/>
      </c>
    </row>
    <row r="228">
      <c r="A228" s="35" t="n"/>
      <c r="B228" s="9" t="n"/>
      <c r="C228" s="9" t="n"/>
      <c r="D228" s="9" t="n"/>
      <c r="E228" s="40" t="n"/>
      <c r="F228" s="25">
        <f>IF($D228="","",IFERROR(VLOOKUP($D228,'Products &amp; Pricing'!$A$14:$D$41,4,FALSE),""))</f>
        <v/>
      </c>
      <c r="G228" s="25">
        <f>IF($D228="","",N(E228)*N(F228))</f>
        <v/>
      </c>
      <c r="H228" s="24" t="n"/>
      <c r="I228" s="24" t="n"/>
      <c r="J228" s="25">
        <f>IF($D228="","",N(G228)+N(H228)-N(I228))</f>
        <v/>
      </c>
      <c r="K228" s="24" t="n"/>
      <c r="L228" s="25">
        <f>IF($D228="","",N(J228)-N(K228))</f>
        <v/>
      </c>
    </row>
    <row r="229">
      <c r="A229" s="35" t="n"/>
      <c r="B229" s="9" t="n"/>
      <c r="C229" s="9" t="n"/>
      <c r="D229" s="9" t="n"/>
      <c r="E229" s="40" t="n"/>
      <c r="F229" s="25">
        <f>IF($D229="","",IFERROR(VLOOKUP($D229,'Products &amp; Pricing'!$A$14:$D$41,4,FALSE),""))</f>
        <v/>
      </c>
      <c r="G229" s="25">
        <f>IF($D229="","",N(E229)*N(F229))</f>
        <v/>
      </c>
      <c r="H229" s="24" t="n"/>
      <c r="I229" s="24" t="n"/>
      <c r="J229" s="25">
        <f>IF($D229="","",N(G229)+N(H229)-N(I229))</f>
        <v/>
      </c>
      <c r="K229" s="24" t="n"/>
      <c r="L229" s="25">
        <f>IF($D229="","",N(J229)-N(K229))</f>
        <v/>
      </c>
    </row>
    <row r="230">
      <c r="A230" s="35" t="n"/>
      <c r="B230" s="9" t="n"/>
      <c r="C230" s="9" t="n"/>
      <c r="D230" s="9" t="n"/>
      <c r="E230" s="40" t="n"/>
      <c r="F230" s="25">
        <f>IF($D230="","",IFERROR(VLOOKUP($D230,'Products &amp; Pricing'!$A$14:$D$41,4,FALSE),""))</f>
        <v/>
      </c>
      <c r="G230" s="25">
        <f>IF($D230="","",N(E230)*N(F230))</f>
        <v/>
      </c>
      <c r="H230" s="24" t="n"/>
      <c r="I230" s="24" t="n"/>
      <c r="J230" s="25">
        <f>IF($D230="","",N(G230)+N(H230)-N(I230))</f>
        <v/>
      </c>
      <c r="K230" s="24" t="n"/>
      <c r="L230" s="25">
        <f>IF($D230="","",N(J230)-N(K230))</f>
        <v/>
      </c>
    </row>
    <row r="231">
      <c r="A231" s="35" t="n"/>
      <c r="B231" s="9" t="n"/>
      <c r="C231" s="9" t="n"/>
      <c r="D231" s="9" t="n"/>
      <c r="E231" s="40" t="n"/>
      <c r="F231" s="25">
        <f>IF($D231="","",IFERROR(VLOOKUP($D231,'Products &amp; Pricing'!$A$14:$D$41,4,FALSE),""))</f>
        <v/>
      </c>
      <c r="G231" s="25">
        <f>IF($D231="","",N(E231)*N(F231))</f>
        <v/>
      </c>
      <c r="H231" s="24" t="n"/>
      <c r="I231" s="24" t="n"/>
      <c r="J231" s="25">
        <f>IF($D231="","",N(G231)+N(H231)-N(I231))</f>
        <v/>
      </c>
      <c r="K231" s="24" t="n"/>
      <c r="L231" s="25">
        <f>IF($D231="","",N(J231)-N(K231))</f>
        <v/>
      </c>
    </row>
    <row r="232">
      <c r="A232" s="35" t="n"/>
      <c r="B232" s="9" t="n"/>
      <c r="C232" s="9" t="n"/>
      <c r="D232" s="9" t="n"/>
      <c r="E232" s="40" t="n"/>
      <c r="F232" s="25">
        <f>IF($D232="","",IFERROR(VLOOKUP($D232,'Products &amp; Pricing'!$A$14:$D$41,4,FALSE),""))</f>
        <v/>
      </c>
      <c r="G232" s="25">
        <f>IF($D232="","",N(E232)*N(F232))</f>
        <v/>
      </c>
      <c r="H232" s="24" t="n"/>
      <c r="I232" s="24" t="n"/>
      <c r="J232" s="25">
        <f>IF($D232="","",N(G232)+N(H232)-N(I232))</f>
        <v/>
      </c>
      <c r="K232" s="24" t="n"/>
      <c r="L232" s="25">
        <f>IF($D232="","",N(J232)-N(K232))</f>
        <v/>
      </c>
    </row>
    <row r="233">
      <c r="A233" s="35" t="n"/>
      <c r="B233" s="9" t="n"/>
      <c r="C233" s="9" t="n"/>
      <c r="D233" s="9" t="n"/>
      <c r="E233" s="40" t="n"/>
      <c r="F233" s="25">
        <f>IF($D233="","",IFERROR(VLOOKUP($D233,'Products &amp; Pricing'!$A$14:$D$41,4,FALSE),""))</f>
        <v/>
      </c>
      <c r="G233" s="25">
        <f>IF($D233="","",N(E233)*N(F233))</f>
        <v/>
      </c>
      <c r="H233" s="24" t="n"/>
      <c r="I233" s="24" t="n"/>
      <c r="J233" s="25">
        <f>IF($D233="","",N(G233)+N(H233)-N(I233))</f>
        <v/>
      </c>
      <c r="K233" s="24" t="n"/>
      <c r="L233" s="25">
        <f>IF($D233="","",N(J233)-N(K233))</f>
        <v/>
      </c>
    </row>
    <row r="234">
      <c r="A234" s="35" t="n"/>
      <c r="B234" s="9" t="n"/>
      <c r="C234" s="9" t="n"/>
      <c r="D234" s="9" t="n"/>
      <c r="E234" s="40" t="n"/>
      <c r="F234" s="25">
        <f>IF($D234="","",IFERROR(VLOOKUP($D234,'Products &amp; Pricing'!$A$14:$D$41,4,FALSE),""))</f>
        <v/>
      </c>
      <c r="G234" s="25">
        <f>IF($D234="","",N(E234)*N(F234))</f>
        <v/>
      </c>
      <c r="H234" s="24" t="n"/>
      <c r="I234" s="24" t="n"/>
      <c r="J234" s="25">
        <f>IF($D234="","",N(G234)+N(H234)-N(I234))</f>
        <v/>
      </c>
      <c r="K234" s="24" t="n"/>
      <c r="L234" s="25">
        <f>IF($D234="","",N(J234)-N(K234))</f>
        <v/>
      </c>
    </row>
    <row r="235">
      <c r="A235" s="35" t="n"/>
      <c r="B235" s="9" t="n"/>
      <c r="C235" s="9" t="n"/>
      <c r="D235" s="9" t="n"/>
      <c r="E235" s="40" t="n"/>
      <c r="F235" s="25">
        <f>IF($D235="","",IFERROR(VLOOKUP($D235,'Products &amp; Pricing'!$A$14:$D$41,4,FALSE),""))</f>
        <v/>
      </c>
      <c r="G235" s="25">
        <f>IF($D235="","",N(E235)*N(F235))</f>
        <v/>
      </c>
      <c r="H235" s="24" t="n"/>
      <c r="I235" s="24" t="n"/>
      <c r="J235" s="25">
        <f>IF($D235="","",N(G235)+N(H235)-N(I235))</f>
        <v/>
      </c>
      <c r="K235" s="24" t="n"/>
      <c r="L235" s="25">
        <f>IF($D235="","",N(J235)-N(K235))</f>
        <v/>
      </c>
    </row>
    <row r="236">
      <c r="A236" s="35" t="n"/>
      <c r="B236" s="9" t="n"/>
      <c r="C236" s="9" t="n"/>
      <c r="D236" s="9" t="n"/>
      <c r="E236" s="40" t="n"/>
      <c r="F236" s="25">
        <f>IF($D236="","",IFERROR(VLOOKUP($D236,'Products &amp; Pricing'!$A$14:$D$41,4,FALSE),""))</f>
        <v/>
      </c>
      <c r="G236" s="25">
        <f>IF($D236="","",N(E236)*N(F236))</f>
        <v/>
      </c>
      <c r="H236" s="24" t="n"/>
      <c r="I236" s="24" t="n"/>
      <c r="J236" s="25">
        <f>IF($D236="","",N(G236)+N(H236)-N(I236))</f>
        <v/>
      </c>
      <c r="K236" s="24" t="n"/>
      <c r="L236" s="25">
        <f>IF($D236="","",N(J236)-N(K236))</f>
        <v/>
      </c>
    </row>
    <row r="237">
      <c r="A237" s="35" t="n"/>
      <c r="B237" s="9" t="n"/>
      <c r="C237" s="9" t="n"/>
      <c r="D237" s="9" t="n"/>
      <c r="E237" s="40" t="n"/>
      <c r="F237" s="25">
        <f>IF($D237="","",IFERROR(VLOOKUP($D237,'Products &amp; Pricing'!$A$14:$D$41,4,FALSE),""))</f>
        <v/>
      </c>
      <c r="G237" s="25">
        <f>IF($D237="","",N(E237)*N(F237))</f>
        <v/>
      </c>
      <c r="H237" s="24" t="n"/>
      <c r="I237" s="24" t="n"/>
      <c r="J237" s="25">
        <f>IF($D237="","",N(G237)+N(H237)-N(I237))</f>
        <v/>
      </c>
      <c r="K237" s="24" t="n"/>
      <c r="L237" s="25">
        <f>IF($D237="","",N(J237)-N(K237))</f>
        <v/>
      </c>
    </row>
    <row r="238">
      <c r="A238" s="35" t="n"/>
      <c r="B238" s="9" t="n"/>
      <c r="C238" s="9" t="n"/>
      <c r="D238" s="9" t="n"/>
      <c r="E238" s="40" t="n"/>
      <c r="F238" s="25">
        <f>IF($D238="","",IFERROR(VLOOKUP($D238,'Products &amp; Pricing'!$A$14:$D$41,4,FALSE),""))</f>
        <v/>
      </c>
      <c r="G238" s="25">
        <f>IF($D238="","",N(E238)*N(F238))</f>
        <v/>
      </c>
      <c r="H238" s="24" t="n"/>
      <c r="I238" s="24" t="n"/>
      <c r="J238" s="25">
        <f>IF($D238="","",N(G238)+N(H238)-N(I238))</f>
        <v/>
      </c>
      <c r="K238" s="24" t="n"/>
      <c r="L238" s="25">
        <f>IF($D238="","",N(J238)-N(K238))</f>
        <v/>
      </c>
    </row>
    <row r="239">
      <c r="A239" s="35" t="n"/>
      <c r="B239" s="9" t="n"/>
      <c r="C239" s="9" t="n"/>
      <c r="D239" s="9" t="n"/>
      <c r="E239" s="40" t="n"/>
      <c r="F239" s="25">
        <f>IF($D239="","",IFERROR(VLOOKUP($D239,'Products &amp; Pricing'!$A$14:$D$41,4,FALSE),""))</f>
        <v/>
      </c>
      <c r="G239" s="25">
        <f>IF($D239="","",N(E239)*N(F239))</f>
        <v/>
      </c>
      <c r="H239" s="24" t="n"/>
      <c r="I239" s="24" t="n"/>
      <c r="J239" s="25">
        <f>IF($D239="","",N(G239)+N(H239)-N(I239))</f>
        <v/>
      </c>
      <c r="K239" s="24" t="n"/>
      <c r="L239" s="25">
        <f>IF($D239="","",N(J239)-N(K239))</f>
        <v/>
      </c>
    </row>
    <row r="240">
      <c r="A240" s="35" t="n"/>
      <c r="B240" s="9" t="n"/>
      <c r="C240" s="9" t="n"/>
      <c r="D240" s="9" t="n"/>
      <c r="E240" s="40" t="n"/>
      <c r="F240" s="25">
        <f>IF($D240="","",IFERROR(VLOOKUP($D240,'Products &amp; Pricing'!$A$14:$D$41,4,FALSE),""))</f>
        <v/>
      </c>
      <c r="G240" s="25">
        <f>IF($D240="","",N(E240)*N(F240))</f>
        <v/>
      </c>
      <c r="H240" s="24" t="n"/>
      <c r="I240" s="24" t="n"/>
      <c r="J240" s="25">
        <f>IF($D240="","",N(G240)+N(H240)-N(I240))</f>
        <v/>
      </c>
      <c r="K240" s="24" t="n"/>
      <c r="L240" s="25">
        <f>IF($D240="","",N(J240)-N(K240))</f>
        <v/>
      </c>
    </row>
    <row r="241">
      <c r="A241" s="35" t="n"/>
      <c r="B241" s="9" t="n"/>
      <c r="C241" s="9" t="n"/>
      <c r="D241" s="9" t="n"/>
      <c r="E241" s="40" t="n"/>
      <c r="F241" s="25">
        <f>IF($D241="","",IFERROR(VLOOKUP($D241,'Products &amp; Pricing'!$A$14:$D$41,4,FALSE),""))</f>
        <v/>
      </c>
      <c r="G241" s="25">
        <f>IF($D241="","",N(E241)*N(F241))</f>
        <v/>
      </c>
      <c r="H241" s="24" t="n"/>
      <c r="I241" s="24" t="n"/>
      <c r="J241" s="25">
        <f>IF($D241="","",N(G241)+N(H241)-N(I241))</f>
        <v/>
      </c>
      <c r="K241" s="24" t="n"/>
      <c r="L241" s="25">
        <f>IF($D241="","",N(J241)-N(K241))</f>
        <v/>
      </c>
    </row>
    <row r="242">
      <c r="A242" s="35" t="n"/>
      <c r="B242" s="9" t="n"/>
      <c r="C242" s="9" t="n"/>
      <c r="D242" s="9" t="n"/>
      <c r="E242" s="40" t="n"/>
      <c r="F242" s="25">
        <f>IF($D242="","",IFERROR(VLOOKUP($D242,'Products &amp; Pricing'!$A$14:$D$41,4,FALSE),""))</f>
        <v/>
      </c>
      <c r="G242" s="25">
        <f>IF($D242="","",N(E242)*N(F242))</f>
        <v/>
      </c>
      <c r="H242" s="24" t="n"/>
      <c r="I242" s="24" t="n"/>
      <c r="J242" s="25">
        <f>IF($D242="","",N(G242)+N(H242)-N(I242))</f>
        <v/>
      </c>
      <c r="K242" s="24" t="n"/>
      <c r="L242" s="25">
        <f>IF($D242="","",N(J242)-N(K242))</f>
        <v/>
      </c>
    </row>
    <row r="243">
      <c r="A243" s="35" t="n"/>
      <c r="B243" s="9" t="n"/>
      <c r="C243" s="9" t="n"/>
      <c r="D243" s="9" t="n"/>
      <c r="E243" s="40" t="n"/>
      <c r="F243" s="25">
        <f>IF($D243="","",IFERROR(VLOOKUP($D243,'Products &amp; Pricing'!$A$14:$D$41,4,FALSE),""))</f>
        <v/>
      </c>
      <c r="G243" s="25">
        <f>IF($D243="","",N(E243)*N(F243))</f>
        <v/>
      </c>
      <c r="H243" s="24" t="n"/>
      <c r="I243" s="24" t="n"/>
      <c r="J243" s="25">
        <f>IF($D243="","",N(G243)+N(H243)-N(I243))</f>
        <v/>
      </c>
      <c r="K243" s="24" t="n"/>
      <c r="L243" s="25">
        <f>IF($D243="","",N(J243)-N(K243))</f>
        <v/>
      </c>
    </row>
    <row r="244">
      <c r="A244" s="35" t="n"/>
      <c r="B244" s="9" t="n"/>
      <c r="C244" s="9" t="n"/>
      <c r="D244" s="9" t="n"/>
      <c r="E244" s="40" t="n"/>
      <c r="F244" s="25">
        <f>IF($D244="","",IFERROR(VLOOKUP($D244,'Products &amp; Pricing'!$A$14:$D$41,4,FALSE),""))</f>
        <v/>
      </c>
      <c r="G244" s="25">
        <f>IF($D244="","",N(E244)*N(F244))</f>
        <v/>
      </c>
      <c r="H244" s="24" t="n"/>
      <c r="I244" s="24" t="n"/>
      <c r="J244" s="25">
        <f>IF($D244="","",N(G244)+N(H244)-N(I244))</f>
        <v/>
      </c>
      <c r="K244" s="24" t="n"/>
      <c r="L244" s="25">
        <f>IF($D244="","",N(J244)-N(K244))</f>
        <v/>
      </c>
    </row>
    <row r="245">
      <c r="A245" s="35" t="n"/>
      <c r="B245" s="9" t="n"/>
      <c r="C245" s="9" t="n"/>
      <c r="D245" s="9" t="n"/>
      <c r="E245" s="40" t="n"/>
      <c r="F245" s="25">
        <f>IF($D245="","",IFERROR(VLOOKUP($D245,'Products &amp; Pricing'!$A$14:$D$41,4,FALSE),""))</f>
        <v/>
      </c>
      <c r="G245" s="25">
        <f>IF($D245="","",N(E245)*N(F245))</f>
        <v/>
      </c>
      <c r="H245" s="24" t="n"/>
      <c r="I245" s="24" t="n"/>
      <c r="J245" s="25">
        <f>IF($D245="","",N(G245)+N(H245)-N(I245))</f>
        <v/>
      </c>
      <c r="K245" s="24" t="n"/>
      <c r="L245" s="25">
        <f>IF($D245="","",N(J245)-N(K245))</f>
        <v/>
      </c>
    </row>
    <row r="246">
      <c r="A246" s="35" t="n"/>
      <c r="B246" s="9" t="n"/>
      <c r="C246" s="9" t="n"/>
      <c r="D246" s="9" t="n"/>
      <c r="E246" s="40" t="n"/>
      <c r="F246" s="25">
        <f>IF($D246="","",IFERROR(VLOOKUP($D246,'Products &amp; Pricing'!$A$14:$D$41,4,FALSE),""))</f>
        <v/>
      </c>
      <c r="G246" s="25">
        <f>IF($D246="","",N(E246)*N(F246))</f>
        <v/>
      </c>
      <c r="H246" s="24" t="n"/>
      <c r="I246" s="24" t="n"/>
      <c r="J246" s="25">
        <f>IF($D246="","",N(G246)+N(H246)-N(I246))</f>
        <v/>
      </c>
      <c r="K246" s="24" t="n"/>
      <c r="L246" s="25">
        <f>IF($D246="","",N(J246)-N(K246))</f>
        <v/>
      </c>
    </row>
    <row r="247">
      <c r="A247" s="35" t="n"/>
      <c r="B247" s="9" t="n"/>
      <c r="C247" s="9" t="n"/>
      <c r="D247" s="9" t="n"/>
      <c r="E247" s="40" t="n"/>
      <c r="F247" s="25">
        <f>IF($D247="","",IFERROR(VLOOKUP($D247,'Products &amp; Pricing'!$A$14:$D$41,4,FALSE),""))</f>
        <v/>
      </c>
      <c r="G247" s="25">
        <f>IF($D247="","",N(E247)*N(F247))</f>
        <v/>
      </c>
      <c r="H247" s="24" t="n"/>
      <c r="I247" s="24" t="n"/>
      <c r="J247" s="25">
        <f>IF($D247="","",N(G247)+N(H247)-N(I247))</f>
        <v/>
      </c>
      <c r="K247" s="24" t="n"/>
      <c r="L247" s="25">
        <f>IF($D247="","",N(J247)-N(K247))</f>
        <v/>
      </c>
    </row>
    <row r="248">
      <c r="A248" s="35" t="n"/>
      <c r="B248" s="9" t="n"/>
      <c r="C248" s="9" t="n"/>
      <c r="D248" s="9" t="n"/>
      <c r="E248" s="40" t="n"/>
      <c r="F248" s="25">
        <f>IF($D248="","",IFERROR(VLOOKUP($D248,'Products &amp; Pricing'!$A$14:$D$41,4,FALSE),""))</f>
        <v/>
      </c>
      <c r="G248" s="25">
        <f>IF($D248="","",N(E248)*N(F248))</f>
        <v/>
      </c>
      <c r="H248" s="24" t="n"/>
      <c r="I248" s="24" t="n"/>
      <c r="J248" s="25">
        <f>IF($D248="","",N(G248)+N(H248)-N(I248))</f>
        <v/>
      </c>
      <c r="K248" s="24" t="n"/>
      <c r="L248" s="25">
        <f>IF($D248="","",N(J248)-N(K248))</f>
        <v/>
      </c>
    </row>
    <row r="249">
      <c r="A249" s="35" t="n"/>
      <c r="B249" s="9" t="n"/>
      <c r="C249" s="9" t="n"/>
      <c r="D249" s="9" t="n"/>
      <c r="E249" s="40" t="n"/>
      <c r="F249" s="25">
        <f>IF($D249="","",IFERROR(VLOOKUP($D249,'Products &amp; Pricing'!$A$14:$D$41,4,FALSE),""))</f>
        <v/>
      </c>
      <c r="G249" s="25">
        <f>IF($D249="","",N(E249)*N(F249))</f>
        <v/>
      </c>
      <c r="H249" s="24" t="n"/>
      <c r="I249" s="24" t="n"/>
      <c r="J249" s="25">
        <f>IF($D249="","",N(G249)+N(H249)-N(I249))</f>
        <v/>
      </c>
      <c r="K249" s="24" t="n"/>
      <c r="L249" s="25">
        <f>IF($D249="","",N(J249)-N(K249))</f>
        <v/>
      </c>
    </row>
    <row r="250">
      <c r="A250" s="35" t="n"/>
      <c r="B250" s="9" t="n"/>
      <c r="C250" s="9" t="n"/>
      <c r="D250" s="9" t="n"/>
      <c r="E250" s="40" t="n"/>
      <c r="F250" s="25">
        <f>IF($D250="","",IFERROR(VLOOKUP($D250,'Products &amp; Pricing'!$A$14:$D$41,4,FALSE),""))</f>
        <v/>
      </c>
      <c r="G250" s="25">
        <f>IF($D250="","",N(E250)*N(F250))</f>
        <v/>
      </c>
      <c r="H250" s="24" t="n"/>
      <c r="I250" s="24" t="n"/>
      <c r="J250" s="25">
        <f>IF($D250="","",N(G250)+N(H250)-N(I250))</f>
        <v/>
      </c>
      <c r="K250" s="24" t="n"/>
      <c r="L250" s="25">
        <f>IF($D250="","",N(J250)-N(K250))</f>
        <v/>
      </c>
    </row>
    <row r="251">
      <c r="A251" s="35" t="n"/>
      <c r="B251" s="9" t="n"/>
      <c r="C251" s="9" t="n"/>
      <c r="D251" s="9" t="n"/>
      <c r="E251" s="40" t="n"/>
      <c r="F251" s="25">
        <f>IF($D251="","",IFERROR(VLOOKUP($D251,'Products &amp; Pricing'!$A$14:$D$41,4,FALSE),""))</f>
        <v/>
      </c>
      <c r="G251" s="25">
        <f>IF($D251="","",N(E251)*N(F251))</f>
        <v/>
      </c>
      <c r="H251" s="24" t="n"/>
      <c r="I251" s="24" t="n"/>
      <c r="J251" s="25">
        <f>IF($D251="","",N(G251)+N(H251)-N(I251))</f>
        <v/>
      </c>
      <c r="K251" s="24" t="n"/>
      <c r="L251" s="25">
        <f>IF($D251="","",N(J251)-N(K251))</f>
        <v/>
      </c>
    </row>
    <row r="252">
      <c r="A252" s="35" t="n"/>
      <c r="B252" s="9" t="n"/>
      <c r="C252" s="9" t="n"/>
      <c r="D252" s="9" t="n"/>
      <c r="E252" s="40" t="n"/>
      <c r="F252" s="25">
        <f>IF($D252="","",IFERROR(VLOOKUP($D252,'Products &amp; Pricing'!$A$14:$D$41,4,FALSE),""))</f>
        <v/>
      </c>
      <c r="G252" s="25">
        <f>IF($D252="","",N(E252)*N(F252))</f>
        <v/>
      </c>
      <c r="H252" s="24" t="n"/>
      <c r="I252" s="24" t="n"/>
      <c r="J252" s="25">
        <f>IF($D252="","",N(G252)+N(H252)-N(I252))</f>
        <v/>
      </c>
      <c r="K252" s="24" t="n"/>
      <c r="L252" s="25">
        <f>IF($D252="","",N(J252)-N(K252))</f>
        <v/>
      </c>
    </row>
    <row r="253">
      <c r="A253" s="35" t="n"/>
      <c r="B253" s="9" t="n"/>
      <c r="C253" s="9" t="n"/>
      <c r="D253" s="9" t="n"/>
      <c r="E253" s="40" t="n"/>
      <c r="F253" s="25">
        <f>IF($D253="","",IFERROR(VLOOKUP($D253,'Products &amp; Pricing'!$A$14:$D$41,4,FALSE),""))</f>
        <v/>
      </c>
      <c r="G253" s="25">
        <f>IF($D253="","",N(E253)*N(F253))</f>
        <v/>
      </c>
      <c r="H253" s="24" t="n"/>
      <c r="I253" s="24" t="n"/>
      <c r="J253" s="25">
        <f>IF($D253="","",N(G253)+N(H253)-N(I253))</f>
        <v/>
      </c>
      <c r="K253" s="24" t="n"/>
      <c r="L253" s="25">
        <f>IF($D253="","",N(J253)-N(K253))</f>
        <v/>
      </c>
    </row>
    <row r="254">
      <c r="A254" s="35" t="n"/>
      <c r="B254" s="9" t="n"/>
      <c r="C254" s="9" t="n"/>
      <c r="D254" s="9" t="n"/>
      <c r="E254" s="40" t="n"/>
      <c r="F254" s="25">
        <f>IF($D254="","",IFERROR(VLOOKUP($D254,'Products &amp; Pricing'!$A$14:$D$41,4,FALSE),""))</f>
        <v/>
      </c>
      <c r="G254" s="25">
        <f>IF($D254="","",N(E254)*N(F254))</f>
        <v/>
      </c>
      <c r="H254" s="24" t="n"/>
      <c r="I254" s="24" t="n"/>
      <c r="J254" s="25">
        <f>IF($D254="","",N(G254)+N(H254)-N(I254))</f>
        <v/>
      </c>
      <c r="K254" s="24" t="n"/>
      <c r="L254" s="25">
        <f>IF($D254="","",N(J254)-N(K254))</f>
        <v/>
      </c>
    </row>
    <row r="255">
      <c r="A255" s="35" t="n"/>
      <c r="B255" s="9" t="n"/>
      <c r="C255" s="9" t="n"/>
      <c r="D255" s="9" t="n"/>
      <c r="E255" s="40" t="n"/>
      <c r="F255" s="25">
        <f>IF($D255="","",IFERROR(VLOOKUP($D255,'Products &amp; Pricing'!$A$14:$D$41,4,FALSE),""))</f>
        <v/>
      </c>
      <c r="G255" s="25">
        <f>IF($D255="","",N(E255)*N(F255))</f>
        <v/>
      </c>
      <c r="H255" s="24" t="n"/>
      <c r="I255" s="24" t="n"/>
      <c r="J255" s="25">
        <f>IF($D255="","",N(G255)+N(H255)-N(I255))</f>
        <v/>
      </c>
      <c r="K255" s="24" t="n"/>
      <c r="L255" s="25">
        <f>IF($D255="","",N(J255)-N(K255))</f>
        <v/>
      </c>
    </row>
    <row r="256">
      <c r="A256" s="35" t="n"/>
      <c r="B256" s="9" t="n"/>
      <c r="C256" s="9" t="n"/>
      <c r="D256" s="9" t="n"/>
      <c r="E256" s="40" t="n"/>
      <c r="F256" s="25">
        <f>IF($D256="","",IFERROR(VLOOKUP($D256,'Products &amp; Pricing'!$A$14:$D$41,4,FALSE),""))</f>
        <v/>
      </c>
      <c r="G256" s="25">
        <f>IF($D256="","",N(E256)*N(F256))</f>
        <v/>
      </c>
      <c r="H256" s="24" t="n"/>
      <c r="I256" s="24" t="n"/>
      <c r="J256" s="25">
        <f>IF($D256="","",N(G256)+N(H256)-N(I256))</f>
        <v/>
      </c>
      <c r="K256" s="24" t="n"/>
      <c r="L256" s="25">
        <f>IF($D256="","",N(J256)-N(K256))</f>
        <v/>
      </c>
    </row>
    <row r="257">
      <c r="A257" s="35" t="n"/>
      <c r="B257" s="9" t="n"/>
      <c r="C257" s="9" t="n"/>
      <c r="D257" s="9" t="n"/>
      <c r="E257" s="40" t="n"/>
      <c r="F257" s="25">
        <f>IF($D257="","",IFERROR(VLOOKUP($D257,'Products &amp; Pricing'!$A$14:$D$41,4,FALSE),""))</f>
        <v/>
      </c>
      <c r="G257" s="25">
        <f>IF($D257="","",N(E257)*N(F257))</f>
        <v/>
      </c>
      <c r="H257" s="24" t="n"/>
      <c r="I257" s="24" t="n"/>
      <c r="J257" s="25">
        <f>IF($D257="","",N(G257)+N(H257)-N(I257))</f>
        <v/>
      </c>
      <c r="K257" s="24" t="n"/>
      <c r="L257" s="25">
        <f>IF($D257="","",N(J257)-N(K257))</f>
        <v/>
      </c>
    </row>
    <row r="258">
      <c r="A258" s="35" t="n"/>
      <c r="B258" s="9" t="n"/>
      <c r="C258" s="9" t="n"/>
      <c r="D258" s="9" t="n"/>
      <c r="E258" s="40" t="n"/>
      <c r="F258" s="25">
        <f>IF($D258="","",IFERROR(VLOOKUP($D258,'Products &amp; Pricing'!$A$14:$D$41,4,FALSE),""))</f>
        <v/>
      </c>
      <c r="G258" s="25">
        <f>IF($D258="","",N(E258)*N(F258))</f>
        <v/>
      </c>
      <c r="H258" s="24" t="n"/>
      <c r="I258" s="24" t="n"/>
      <c r="J258" s="25">
        <f>IF($D258="","",N(G258)+N(H258)-N(I258))</f>
        <v/>
      </c>
      <c r="K258" s="24" t="n"/>
      <c r="L258" s="25">
        <f>IF($D258="","",N(J258)-N(K258))</f>
        <v/>
      </c>
    </row>
    <row r="259">
      <c r="A259" s="35" t="n"/>
      <c r="B259" s="9" t="n"/>
      <c r="C259" s="9" t="n"/>
      <c r="D259" s="9" t="n"/>
      <c r="E259" s="40" t="n"/>
      <c r="F259" s="25">
        <f>IF($D259="","",IFERROR(VLOOKUP($D259,'Products &amp; Pricing'!$A$14:$D$41,4,FALSE),""))</f>
        <v/>
      </c>
      <c r="G259" s="25">
        <f>IF($D259="","",N(E259)*N(F259))</f>
        <v/>
      </c>
      <c r="H259" s="24" t="n"/>
      <c r="I259" s="24" t="n"/>
      <c r="J259" s="25">
        <f>IF($D259="","",N(G259)+N(H259)-N(I259))</f>
        <v/>
      </c>
      <c r="K259" s="24" t="n"/>
      <c r="L259" s="25">
        <f>IF($D259="","",N(J259)-N(K259))</f>
        <v/>
      </c>
    </row>
    <row r="260">
      <c r="A260" s="35" t="n"/>
      <c r="B260" s="9" t="n"/>
      <c r="C260" s="9" t="n"/>
      <c r="D260" s="9" t="n"/>
      <c r="E260" s="40" t="n"/>
      <c r="F260" s="25">
        <f>IF($D260="","",IFERROR(VLOOKUP($D260,'Products &amp; Pricing'!$A$14:$D$41,4,FALSE),""))</f>
        <v/>
      </c>
      <c r="G260" s="25">
        <f>IF($D260="","",N(E260)*N(F260))</f>
        <v/>
      </c>
      <c r="H260" s="24" t="n"/>
      <c r="I260" s="24" t="n"/>
      <c r="J260" s="25">
        <f>IF($D260="","",N(G260)+N(H260)-N(I260))</f>
        <v/>
      </c>
      <c r="K260" s="24" t="n"/>
      <c r="L260" s="25">
        <f>IF($D260="","",N(J260)-N(K260))</f>
        <v/>
      </c>
    </row>
    <row r="261">
      <c r="A261" s="35" t="n"/>
      <c r="B261" s="9" t="n"/>
      <c r="C261" s="9" t="n"/>
      <c r="D261" s="9" t="n"/>
      <c r="E261" s="40" t="n"/>
      <c r="F261" s="25">
        <f>IF($D261="","",IFERROR(VLOOKUP($D261,'Products &amp; Pricing'!$A$14:$D$41,4,FALSE),""))</f>
        <v/>
      </c>
      <c r="G261" s="25">
        <f>IF($D261="","",N(E261)*N(F261))</f>
        <v/>
      </c>
      <c r="H261" s="24" t="n"/>
      <c r="I261" s="24" t="n"/>
      <c r="J261" s="25">
        <f>IF($D261="","",N(G261)+N(H261)-N(I261))</f>
        <v/>
      </c>
      <c r="K261" s="24" t="n"/>
      <c r="L261" s="25">
        <f>IF($D261="","",N(J261)-N(K261))</f>
        <v/>
      </c>
    </row>
    <row r="262">
      <c r="A262" s="35" t="n"/>
      <c r="B262" s="9" t="n"/>
      <c r="C262" s="9" t="n"/>
      <c r="D262" s="9" t="n"/>
      <c r="E262" s="40" t="n"/>
      <c r="F262" s="25">
        <f>IF($D262="","",IFERROR(VLOOKUP($D262,'Products &amp; Pricing'!$A$14:$D$41,4,FALSE),""))</f>
        <v/>
      </c>
      <c r="G262" s="25">
        <f>IF($D262="","",N(E262)*N(F262))</f>
        <v/>
      </c>
      <c r="H262" s="24" t="n"/>
      <c r="I262" s="24" t="n"/>
      <c r="J262" s="25">
        <f>IF($D262="","",N(G262)+N(H262)-N(I262))</f>
        <v/>
      </c>
      <c r="K262" s="24" t="n"/>
      <c r="L262" s="25">
        <f>IF($D262="","",N(J262)-N(K262))</f>
        <v/>
      </c>
    </row>
    <row r="263">
      <c r="A263" s="35" t="n"/>
      <c r="B263" s="9" t="n"/>
      <c r="C263" s="9" t="n"/>
      <c r="D263" s="9" t="n"/>
      <c r="E263" s="40" t="n"/>
      <c r="F263" s="25">
        <f>IF($D263="","",IFERROR(VLOOKUP($D263,'Products &amp; Pricing'!$A$14:$D$41,4,FALSE),""))</f>
        <v/>
      </c>
      <c r="G263" s="25">
        <f>IF($D263="","",N(E263)*N(F263))</f>
        <v/>
      </c>
      <c r="H263" s="24" t="n"/>
      <c r="I263" s="24" t="n"/>
      <c r="J263" s="25">
        <f>IF($D263="","",N(G263)+N(H263)-N(I263))</f>
        <v/>
      </c>
      <c r="K263" s="24" t="n"/>
      <c r="L263" s="25">
        <f>IF($D263="","",N(J263)-N(K263))</f>
        <v/>
      </c>
    </row>
    <row r="264">
      <c r="A264" s="35" t="n"/>
      <c r="B264" s="9" t="n"/>
      <c r="C264" s="9" t="n"/>
      <c r="D264" s="9" t="n"/>
      <c r="E264" s="40" t="n"/>
      <c r="F264" s="25">
        <f>IF($D264="","",IFERROR(VLOOKUP($D264,'Products &amp; Pricing'!$A$14:$D$41,4,FALSE),""))</f>
        <v/>
      </c>
      <c r="G264" s="25">
        <f>IF($D264="","",N(E264)*N(F264))</f>
        <v/>
      </c>
      <c r="H264" s="24" t="n"/>
      <c r="I264" s="24" t="n"/>
      <c r="J264" s="25">
        <f>IF($D264="","",N(G264)+N(H264)-N(I264))</f>
        <v/>
      </c>
      <c r="K264" s="24" t="n"/>
      <c r="L264" s="25">
        <f>IF($D264="","",N(J264)-N(K264))</f>
        <v/>
      </c>
    </row>
    <row r="265">
      <c r="A265" s="35" t="n"/>
      <c r="B265" s="9" t="n"/>
      <c r="C265" s="9" t="n"/>
      <c r="D265" s="9" t="n"/>
      <c r="E265" s="40" t="n"/>
      <c r="F265" s="25">
        <f>IF($D265="","",IFERROR(VLOOKUP($D265,'Products &amp; Pricing'!$A$14:$D$41,4,FALSE),""))</f>
        <v/>
      </c>
      <c r="G265" s="25">
        <f>IF($D265="","",N(E265)*N(F265))</f>
        <v/>
      </c>
      <c r="H265" s="24" t="n"/>
      <c r="I265" s="24" t="n"/>
      <c r="J265" s="25">
        <f>IF($D265="","",N(G265)+N(H265)-N(I265))</f>
        <v/>
      </c>
      <c r="K265" s="24" t="n"/>
      <c r="L265" s="25">
        <f>IF($D265="","",N(J265)-N(K265))</f>
        <v/>
      </c>
    </row>
    <row r="266">
      <c r="A266" s="35" t="n"/>
      <c r="B266" s="9" t="n"/>
      <c r="C266" s="9" t="n"/>
      <c r="D266" s="9" t="n"/>
      <c r="E266" s="40" t="n"/>
      <c r="F266" s="25">
        <f>IF($D266="","",IFERROR(VLOOKUP($D266,'Products &amp; Pricing'!$A$14:$D$41,4,FALSE),""))</f>
        <v/>
      </c>
      <c r="G266" s="25">
        <f>IF($D266="","",N(E266)*N(F266))</f>
        <v/>
      </c>
      <c r="H266" s="24" t="n"/>
      <c r="I266" s="24" t="n"/>
      <c r="J266" s="25">
        <f>IF($D266="","",N(G266)+N(H266)-N(I266))</f>
        <v/>
      </c>
      <c r="K266" s="24" t="n"/>
      <c r="L266" s="25">
        <f>IF($D266="","",N(J266)-N(K266))</f>
        <v/>
      </c>
    </row>
    <row r="267">
      <c r="A267" s="35" t="n"/>
      <c r="B267" s="9" t="n"/>
      <c r="C267" s="9" t="n"/>
      <c r="D267" s="9" t="n"/>
      <c r="E267" s="40" t="n"/>
      <c r="F267" s="25">
        <f>IF($D267="","",IFERROR(VLOOKUP($D267,'Products &amp; Pricing'!$A$14:$D$41,4,FALSE),""))</f>
        <v/>
      </c>
      <c r="G267" s="25">
        <f>IF($D267="","",N(E267)*N(F267))</f>
        <v/>
      </c>
      <c r="H267" s="24" t="n"/>
      <c r="I267" s="24" t="n"/>
      <c r="J267" s="25">
        <f>IF($D267="","",N(G267)+N(H267)-N(I267))</f>
        <v/>
      </c>
      <c r="K267" s="24" t="n"/>
      <c r="L267" s="25">
        <f>IF($D267="","",N(J267)-N(K267))</f>
        <v/>
      </c>
    </row>
    <row r="268">
      <c r="A268" s="35" t="n"/>
      <c r="B268" s="9" t="n"/>
      <c r="C268" s="9" t="n"/>
      <c r="D268" s="9" t="n"/>
      <c r="E268" s="40" t="n"/>
      <c r="F268" s="25">
        <f>IF($D268="","",IFERROR(VLOOKUP($D268,'Products &amp; Pricing'!$A$14:$D$41,4,FALSE),""))</f>
        <v/>
      </c>
      <c r="G268" s="25">
        <f>IF($D268="","",N(E268)*N(F268))</f>
        <v/>
      </c>
      <c r="H268" s="24" t="n"/>
      <c r="I268" s="24" t="n"/>
      <c r="J268" s="25">
        <f>IF($D268="","",N(G268)+N(H268)-N(I268))</f>
        <v/>
      </c>
      <c r="K268" s="24" t="n"/>
      <c r="L268" s="25">
        <f>IF($D268="","",N(J268)-N(K268))</f>
        <v/>
      </c>
    </row>
    <row r="269">
      <c r="A269" s="35" t="n"/>
      <c r="B269" s="9" t="n"/>
      <c r="C269" s="9" t="n"/>
      <c r="D269" s="9" t="n"/>
      <c r="E269" s="40" t="n"/>
      <c r="F269" s="25">
        <f>IF($D269="","",IFERROR(VLOOKUP($D269,'Products &amp; Pricing'!$A$14:$D$41,4,FALSE),""))</f>
        <v/>
      </c>
      <c r="G269" s="25">
        <f>IF($D269="","",N(E269)*N(F269))</f>
        <v/>
      </c>
      <c r="H269" s="24" t="n"/>
      <c r="I269" s="24" t="n"/>
      <c r="J269" s="25">
        <f>IF($D269="","",N(G269)+N(H269)-N(I269))</f>
        <v/>
      </c>
      <c r="K269" s="24" t="n"/>
      <c r="L269" s="25">
        <f>IF($D269="","",N(J269)-N(K269))</f>
        <v/>
      </c>
    </row>
    <row r="270">
      <c r="A270" s="35" t="n"/>
      <c r="B270" s="9" t="n"/>
      <c r="C270" s="9" t="n"/>
      <c r="D270" s="9" t="n"/>
      <c r="E270" s="40" t="n"/>
      <c r="F270" s="25">
        <f>IF($D270="","",IFERROR(VLOOKUP($D270,'Products &amp; Pricing'!$A$14:$D$41,4,FALSE),""))</f>
        <v/>
      </c>
      <c r="G270" s="25">
        <f>IF($D270="","",N(E270)*N(F270))</f>
        <v/>
      </c>
      <c r="H270" s="24" t="n"/>
      <c r="I270" s="24" t="n"/>
      <c r="J270" s="25">
        <f>IF($D270="","",N(G270)+N(H270)-N(I270))</f>
        <v/>
      </c>
      <c r="K270" s="24" t="n"/>
      <c r="L270" s="25">
        <f>IF($D270="","",N(J270)-N(K270))</f>
        <v/>
      </c>
    </row>
    <row r="271">
      <c r="A271" s="35" t="n"/>
      <c r="B271" s="9" t="n"/>
      <c r="C271" s="9" t="n"/>
      <c r="D271" s="9" t="n"/>
      <c r="E271" s="40" t="n"/>
      <c r="F271" s="25">
        <f>IF($D271="","",IFERROR(VLOOKUP($D271,'Products &amp; Pricing'!$A$14:$D$41,4,FALSE),""))</f>
        <v/>
      </c>
      <c r="G271" s="25">
        <f>IF($D271="","",N(E271)*N(F271))</f>
        <v/>
      </c>
      <c r="H271" s="24" t="n"/>
      <c r="I271" s="24" t="n"/>
      <c r="J271" s="25">
        <f>IF($D271="","",N(G271)+N(H271)-N(I271))</f>
        <v/>
      </c>
      <c r="K271" s="24" t="n"/>
      <c r="L271" s="25">
        <f>IF($D271="","",N(J271)-N(K271))</f>
        <v/>
      </c>
    </row>
    <row r="272">
      <c r="A272" s="35" t="n"/>
      <c r="B272" s="9" t="n"/>
      <c r="C272" s="9" t="n"/>
      <c r="D272" s="9" t="n"/>
      <c r="E272" s="40" t="n"/>
      <c r="F272" s="25">
        <f>IF($D272="","",IFERROR(VLOOKUP($D272,'Products &amp; Pricing'!$A$14:$D$41,4,FALSE),""))</f>
        <v/>
      </c>
      <c r="G272" s="25">
        <f>IF($D272="","",N(E272)*N(F272))</f>
        <v/>
      </c>
      <c r="H272" s="24" t="n"/>
      <c r="I272" s="24" t="n"/>
      <c r="J272" s="25">
        <f>IF($D272="","",N(G272)+N(H272)-N(I272))</f>
        <v/>
      </c>
      <c r="K272" s="24" t="n"/>
      <c r="L272" s="25">
        <f>IF($D272="","",N(J272)-N(K272))</f>
        <v/>
      </c>
    </row>
    <row r="273">
      <c r="A273" s="35" t="n"/>
      <c r="B273" s="9" t="n"/>
      <c r="C273" s="9" t="n"/>
      <c r="D273" s="9" t="n"/>
      <c r="E273" s="40" t="n"/>
      <c r="F273" s="25">
        <f>IF($D273="","",IFERROR(VLOOKUP($D273,'Products &amp; Pricing'!$A$14:$D$41,4,FALSE),""))</f>
        <v/>
      </c>
      <c r="G273" s="25">
        <f>IF($D273="","",N(E273)*N(F273))</f>
        <v/>
      </c>
      <c r="H273" s="24" t="n"/>
      <c r="I273" s="24" t="n"/>
      <c r="J273" s="25">
        <f>IF($D273="","",N(G273)+N(H273)-N(I273))</f>
        <v/>
      </c>
      <c r="K273" s="24" t="n"/>
      <c r="L273" s="25">
        <f>IF($D273="","",N(J273)-N(K273))</f>
        <v/>
      </c>
    </row>
    <row r="274">
      <c r="A274" s="35" t="n"/>
      <c r="B274" s="9" t="n"/>
      <c r="C274" s="9" t="n"/>
      <c r="D274" s="9" t="n"/>
      <c r="E274" s="40" t="n"/>
      <c r="F274" s="25">
        <f>IF($D274="","",IFERROR(VLOOKUP($D274,'Products &amp; Pricing'!$A$14:$D$41,4,FALSE),""))</f>
        <v/>
      </c>
      <c r="G274" s="25">
        <f>IF($D274="","",N(E274)*N(F274))</f>
        <v/>
      </c>
      <c r="H274" s="24" t="n"/>
      <c r="I274" s="24" t="n"/>
      <c r="J274" s="25">
        <f>IF($D274="","",N(G274)+N(H274)-N(I274))</f>
        <v/>
      </c>
      <c r="K274" s="24" t="n"/>
      <c r="L274" s="25">
        <f>IF($D274="","",N(J274)-N(K274))</f>
        <v/>
      </c>
    </row>
    <row r="275">
      <c r="A275" s="35" t="n"/>
      <c r="B275" s="9" t="n"/>
      <c r="C275" s="9" t="n"/>
      <c r="D275" s="9" t="n"/>
      <c r="E275" s="40" t="n"/>
      <c r="F275" s="25">
        <f>IF($D275="","",IFERROR(VLOOKUP($D275,'Products &amp; Pricing'!$A$14:$D$41,4,FALSE),""))</f>
        <v/>
      </c>
      <c r="G275" s="25">
        <f>IF($D275="","",N(E275)*N(F275))</f>
        <v/>
      </c>
      <c r="H275" s="24" t="n"/>
      <c r="I275" s="24" t="n"/>
      <c r="J275" s="25">
        <f>IF($D275="","",N(G275)+N(H275)-N(I275))</f>
        <v/>
      </c>
      <c r="K275" s="24" t="n"/>
      <c r="L275" s="25">
        <f>IF($D275="","",N(J275)-N(K275))</f>
        <v/>
      </c>
    </row>
    <row r="276">
      <c r="A276" s="35" t="n"/>
      <c r="B276" s="9" t="n"/>
      <c r="C276" s="9" t="n"/>
      <c r="D276" s="9" t="n"/>
      <c r="E276" s="40" t="n"/>
      <c r="F276" s="25">
        <f>IF($D276="","",IFERROR(VLOOKUP($D276,'Products &amp; Pricing'!$A$14:$D$41,4,FALSE),""))</f>
        <v/>
      </c>
      <c r="G276" s="25">
        <f>IF($D276="","",N(E276)*N(F276))</f>
        <v/>
      </c>
      <c r="H276" s="24" t="n"/>
      <c r="I276" s="24" t="n"/>
      <c r="J276" s="25">
        <f>IF($D276="","",N(G276)+N(H276)-N(I276))</f>
        <v/>
      </c>
      <c r="K276" s="24" t="n"/>
      <c r="L276" s="25">
        <f>IF($D276="","",N(J276)-N(K276))</f>
        <v/>
      </c>
    </row>
    <row r="277">
      <c r="A277" s="35" t="n"/>
      <c r="B277" s="9" t="n"/>
      <c r="C277" s="9" t="n"/>
      <c r="D277" s="9" t="n"/>
      <c r="E277" s="40" t="n"/>
      <c r="F277" s="25">
        <f>IF($D277="","",IFERROR(VLOOKUP($D277,'Products &amp; Pricing'!$A$14:$D$41,4,FALSE),""))</f>
        <v/>
      </c>
      <c r="G277" s="25">
        <f>IF($D277="","",N(E277)*N(F277))</f>
        <v/>
      </c>
      <c r="H277" s="24" t="n"/>
      <c r="I277" s="24" t="n"/>
      <c r="J277" s="25">
        <f>IF($D277="","",N(G277)+N(H277)-N(I277))</f>
        <v/>
      </c>
      <c r="K277" s="24" t="n"/>
      <c r="L277" s="25">
        <f>IF($D277="","",N(J277)-N(K277))</f>
        <v/>
      </c>
    </row>
    <row r="278">
      <c r="A278" s="35" t="n"/>
      <c r="B278" s="9" t="n"/>
      <c r="C278" s="9" t="n"/>
      <c r="D278" s="9" t="n"/>
      <c r="E278" s="40" t="n"/>
      <c r="F278" s="25">
        <f>IF($D278="","",IFERROR(VLOOKUP($D278,'Products &amp; Pricing'!$A$14:$D$41,4,FALSE),""))</f>
        <v/>
      </c>
      <c r="G278" s="25">
        <f>IF($D278="","",N(E278)*N(F278))</f>
        <v/>
      </c>
      <c r="H278" s="24" t="n"/>
      <c r="I278" s="24" t="n"/>
      <c r="J278" s="25">
        <f>IF($D278="","",N(G278)+N(H278)-N(I278))</f>
        <v/>
      </c>
      <c r="K278" s="24" t="n"/>
      <c r="L278" s="25">
        <f>IF($D278="","",N(J278)-N(K278))</f>
        <v/>
      </c>
    </row>
    <row r="279">
      <c r="A279" s="35" t="n"/>
      <c r="B279" s="9" t="n"/>
      <c r="C279" s="9" t="n"/>
      <c r="D279" s="9" t="n"/>
      <c r="E279" s="40" t="n"/>
      <c r="F279" s="25">
        <f>IF($D279="","",IFERROR(VLOOKUP($D279,'Products &amp; Pricing'!$A$14:$D$41,4,FALSE),""))</f>
        <v/>
      </c>
      <c r="G279" s="25">
        <f>IF($D279="","",N(E279)*N(F279))</f>
        <v/>
      </c>
      <c r="H279" s="24" t="n"/>
      <c r="I279" s="24" t="n"/>
      <c r="J279" s="25">
        <f>IF($D279="","",N(G279)+N(H279)-N(I279))</f>
        <v/>
      </c>
      <c r="K279" s="24" t="n"/>
      <c r="L279" s="25">
        <f>IF($D279="","",N(J279)-N(K279))</f>
        <v/>
      </c>
    </row>
    <row r="280">
      <c r="A280" s="35" t="n"/>
      <c r="B280" s="9" t="n"/>
      <c r="C280" s="9" t="n"/>
      <c r="D280" s="9" t="n"/>
      <c r="E280" s="40" t="n"/>
      <c r="F280" s="25">
        <f>IF($D280="","",IFERROR(VLOOKUP($D280,'Products &amp; Pricing'!$A$14:$D$41,4,FALSE),""))</f>
        <v/>
      </c>
      <c r="G280" s="25">
        <f>IF($D280="","",N(E280)*N(F280))</f>
        <v/>
      </c>
      <c r="H280" s="24" t="n"/>
      <c r="I280" s="24" t="n"/>
      <c r="J280" s="25">
        <f>IF($D280="","",N(G280)+N(H280)-N(I280))</f>
        <v/>
      </c>
      <c r="K280" s="24" t="n"/>
      <c r="L280" s="25">
        <f>IF($D280="","",N(J280)-N(K280))</f>
        <v/>
      </c>
    </row>
    <row r="281">
      <c r="A281" s="35" t="n"/>
      <c r="B281" s="9" t="n"/>
      <c r="C281" s="9" t="n"/>
      <c r="D281" s="9" t="n"/>
      <c r="E281" s="40" t="n"/>
      <c r="F281" s="25">
        <f>IF($D281="","",IFERROR(VLOOKUP($D281,'Products &amp; Pricing'!$A$14:$D$41,4,FALSE),""))</f>
        <v/>
      </c>
      <c r="G281" s="25">
        <f>IF($D281="","",N(E281)*N(F281))</f>
        <v/>
      </c>
      <c r="H281" s="24" t="n"/>
      <c r="I281" s="24" t="n"/>
      <c r="J281" s="25">
        <f>IF($D281="","",N(G281)+N(H281)-N(I281))</f>
        <v/>
      </c>
      <c r="K281" s="24" t="n"/>
      <c r="L281" s="25">
        <f>IF($D281="","",N(J281)-N(K281))</f>
        <v/>
      </c>
    </row>
    <row r="282">
      <c r="A282" s="35" t="n"/>
      <c r="B282" s="9" t="n"/>
      <c r="C282" s="9" t="n"/>
      <c r="D282" s="9" t="n"/>
      <c r="E282" s="40" t="n"/>
      <c r="F282" s="25">
        <f>IF($D282="","",IFERROR(VLOOKUP($D282,'Products &amp; Pricing'!$A$14:$D$41,4,FALSE),""))</f>
        <v/>
      </c>
      <c r="G282" s="25">
        <f>IF($D282="","",N(E282)*N(F282))</f>
        <v/>
      </c>
      <c r="H282" s="24" t="n"/>
      <c r="I282" s="24" t="n"/>
      <c r="J282" s="25">
        <f>IF($D282="","",N(G282)+N(H282)-N(I282))</f>
        <v/>
      </c>
      <c r="K282" s="24" t="n"/>
      <c r="L282" s="25">
        <f>IF($D282="","",N(J282)-N(K282))</f>
        <v/>
      </c>
    </row>
    <row r="283">
      <c r="A283" s="35" t="n"/>
      <c r="B283" s="9" t="n"/>
      <c r="C283" s="9" t="n"/>
      <c r="D283" s="9" t="n"/>
      <c r="E283" s="40" t="n"/>
      <c r="F283" s="25">
        <f>IF($D283="","",IFERROR(VLOOKUP($D283,'Products &amp; Pricing'!$A$14:$D$41,4,FALSE),""))</f>
        <v/>
      </c>
      <c r="G283" s="25">
        <f>IF($D283="","",N(E283)*N(F283))</f>
        <v/>
      </c>
      <c r="H283" s="24" t="n"/>
      <c r="I283" s="24" t="n"/>
      <c r="J283" s="25">
        <f>IF($D283="","",N(G283)+N(H283)-N(I283))</f>
        <v/>
      </c>
      <c r="K283" s="24" t="n"/>
      <c r="L283" s="25">
        <f>IF($D283="","",N(J283)-N(K283))</f>
        <v/>
      </c>
    </row>
    <row r="284">
      <c r="A284" s="35" t="n"/>
      <c r="B284" s="9" t="n"/>
      <c r="C284" s="9" t="n"/>
      <c r="D284" s="9" t="n"/>
      <c r="E284" s="40" t="n"/>
      <c r="F284" s="25">
        <f>IF($D284="","",IFERROR(VLOOKUP($D284,'Products &amp; Pricing'!$A$14:$D$41,4,FALSE),""))</f>
        <v/>
      </c>
      <c r="G284" s="25">
        <f>IF($D284="","",N(E284)*N(F284))</f>
        <v/>
      </c>
      <c r="H284" s="24" t="n"/>
      <c r="I284" s="24" t="n"/>
      <c r="J284" s="25">
        <f>IF($D284="","",N(G284)+N(H284)-N(I284))</f>
        <v/>
      </c>
      <c r="K284" s="24" t="n"/>
      <c r="L284" s="25">
        <f>IF($D284="","",N(J284)-N(K284))</f>
        <v/>
      </c>
    </row>
    <row r="285">
      <c r="A285" s="35" t="n"/>
      <c r="B285" s="9" t="n"/>
      <c r="C285" s="9" t="n"/>
      <c r="D285" s="9" t="n"/>
      <c r="E285" s="40" t="n"/>
      <c r="F285" s="25">
        <f>IF($D285="","",IFERROR(VLOOKUP($D285,'Products &amp; Pricing'!$A$14:$D$41,4,FALSE),""))</f>
        <v/>
      </c>
      <c r="G285" s="25">
        <f>IF($D285="","",N(E285)*N(F285))</f>
        <v/>
      </c>
      <c r="H285" s="24" t="n"/>
      <c r="I285" s="24" t="n"/>
      <c r="J285" s="25">
        <f>IF($D285="","",N(G285)+N(H285)-N(I285))</f>
        <v/>
      </c>
      <c r="K285" s="24" t="n"/>
      <c r="L285" s="25">
        <f>IF($D285="","",N(J285)-N(K285))</f>
        <v/>
      </c>
    </row>
    <row r="286">
      <c r="A286" s="35" t="n"/>
      <c r="B286" s="9" t="n"/>
      <c r="C286" s="9" t="n"/>
      <c r="D286" s="9" t="n"/>
      <c r="E286" s="40" t="n"/>
      <c r="F286" s="25">
        <f>IF($D286="","",IFERROR(VLOOKUP($D286,'Products &amp; Pricing'!$A$14:$D$41,4,FALSE),""))</f>
        <v/>
      </c>
      <c r="G286" s="25">
        <f>IF($D286="","",N(E286)*N(F286))</f>
        <v/>
      </c>
      <c r="H286" s="24" t="n"/>
      <c r="I286" s="24" t="n"/>
      <c r="J286" s="25">
        <f>IF($D286="","",N(G286)+N(H286)-N(I286))</f>
        <v/>
      </c>
      <c r="K286" s="24" t="n"/>
      <c r="L286" s="25">
        <f>IF($D286="","",N(J286)-N(K286))</f>
        <v/>
      </c>
    </row>
    <row r="287">
      <c r="A287" s="35" t="n"/>
      <c r="B287" s="9" t="n"/>
      <c r="C287" s="9" t="n"/>
      <c r="D287" s="9" t="n"/>
      <c r="E287" s="40" t="n"/>
      <c r="F287" s="25">
        <f>IF($D287="","",IFERROR(VLOOKUP($D287,'Products &amp; Pricing'!$A$14:$D$41,4,FALSE),""))</f>
        <v/>
      </c>
      <c r="G287" s="25">
        <f>IF($D287="","",N(E287)*N(F287))</f>
        <v/>
      </c>
      <c r="H287" s="24" t="n"/>
      <c r="I287" s="24" t="n"/>
      <c r="J287" s="25">
        <f>IF($D287="","",N(G287)+N(H287)-N(I287))</f>
        <v/>
      </c>
      <c r="K287" s="24" t="n"/>
      <c r="L287" s="25">
        <f>IF($D287="","",N(J287)-N(K287))</f>
        <v/>
      </c>
    </row>
    <row r="288">
      <c r="A288" s="35" t="n"/>
      <c r="B288" s="9" t="n"/>
      <c r="C288" s="9" t="n"/>
      <c r="D288" s="9" t="n"/>
      <c r="E288" s="40" t="n"/>
      <c r="F288" s="25">
        <f>IF($D288="","",IFERROR(VLOOKUP($D288,'Products &amp; Pricing'!$A$14:$D$41,4,FALSE),""))</f>
        <v/>
      </c>
      <c r="G288" s="25">
        <f>IF($D288="","",N(E288)*N(F288))</f>
        <v/>
      </c>
      <c r="H288" s="24" t="n"/>
      <c r="I288" s="24" t="n"/>
      <c r="J288" s="25">
        <f>IF($D288="","",N(G288)+N(H288)-N(I288))</f>
        <v/>
      </c>
      <c r="K288" s="24" t="n"/>
      <c r="L288" s="25">
        <f>IF($D288="","",N(J288)-N(K288))</f>
        <v/>
      </c>
    </row>
    <row r="289">
      <c r="A289" s="35" t="n"/>
      <c r="B289" s="9" t="n"/>
      <c r="C289" s="9" t="n"/>
      <c r="D289" s="9" t="n"/>
      <c r="E289" s="40" t="n"/>
      <c r="F289" s="25">
        <f>IF($D289="","",IFERROR(VLOOKUP($D289,'Products &amp; Pricing'!$A$14:$D$41,4,FALSE),""))</f>
        <v/>
      </c>
      <c r="G289" s="25">
        <f>IF($D289="","",N(E289)*N(F289))</f>
        <v/>
      </c>
      <c r="H289" s="24" t="n"/>
      <c r="I289" s="24" t="n"/>
      <c r="J289" s="25">
        <f>IF($D289="","",N(G289)+N(H289)-N(I289))</f>
        <v/>
      </c>
      <c r="K289" s="24" t="n"/>
      <c r="L289" s="25">
        <f>IF($D289="","",N(J289)-N(K289))</f>
        <v/>
      </c>
    </row>
    <row r="290">
      <c r="A290" s="35" t="n"/>
      <c r="B290" s="9" t="n"/>
      <c r="C290" s="9" t="n"/>
      <c r="D290" s="9" t="n"/>
      <c r="E290" s="40" t="n"/>
      <c r="F290" s="25">
        <f>IF($D290="","",IFERROR(VLOOKUP($D290,'Products &amp; Pricing'!$A$14:$D$41,4,FALSE),""))</f>
        <v/>
      </c>
      <c r="G290" s="25">
        <f>IF($D290="","",N(E290)*N(F290))</f>
        <v/>
      </c>
      <c r="H290" s="24" t="n"/>
      <c r="I290" s="24" t="n"/>
      <c r="J290" s="25">
        <f>IF($D290="","",N(G290)+N(H290)-N(I290))</f>
        <v/>
      </c>
      <c r="K290" s="24" t="n"/>
      <c r="L290" s="25">
        <f>IF($D290="","",N(J290)-N(K290))</f>
        <v/>
      </c>
    </row>
    <row r="291">
      <c r="A291" s="35" t="n"/>
      <c r="B291" s="9" t="n"/>
      <c r="C291" s="9" t="n"/>
      <c r="D291" s="9" t="n"/>
      <c r="E291" s="40" t="n"/>
      <c r="F291" s="25">
        <f>IF($D291="","",IFERROR(VLOOKUP($D291,'Products &amp; Pricing'!$A$14:$D$41,4,FALSE),""))</f>
        <v/>
      </c>
      <c r="G291" s="25">
        <f>IF($D291="","",N(E291)*N(F291))</f>
        <v/>
      </c>
      <c r="H291" s="24" t="n"/>
      <c r="I291" s="24" t="n"/>
      <c r="J291" s="25">
        <f>IF($D291="","",N(G291)+N(H291)-N(I291))</f>
        <v/>
      </c>
      <c r="K291" s="24" t="n"/>
      <c r="L291" s="25">
        <f>IF($D291="","",N(J291)-N(K291))</f>
        <v/>
      </c>
    </row>
    <row r="292">
      <c r="A292" s="35" t="n"/>
      <c r="B292" s="9" t="n"/>
      <c r="C292" s="9" t="n"/>
      <c r="D292" s="9" t="n"/>
      <c r="E292" s="40" t="n"/>
      <c r="F292" s="25">
        <f>IF($D292="","",IFERROR(VLOOKUP($D292,'Products &amp; Pricing'!$A$14:$D$41,4,FALSE),""))</f>
        <v/>
      </c>
      <c r="G292" s="25">
        <f>IF($D292="","",N(E292)*N(F292))</f>
        <v/>
      </c>
      <c r="H292" s="24" t="n"/>
      <c r="I292" s="24" t="n"/>
      <c r="J292" s="25">
        <f>IF($D292="","",N(G292)+N(H292)-N(I292))</f>
        <v/>
      </c>
      <c r="K292" s="24" t="n"/>
      <c r="L292" s="25">
        <f>IF($D292="","",N(J292)-N(K292))</f>
        <v/>
      </c>
    </row>
    <row r="293">
      <c r="A293" s="35" t="n"/>
      <c r="B293" s="9" t="n"/>
      <c r="C293" s="9" t="n"/>
      <c r="D293" s="9" t="n"/>
      <c r="E293" s="40" t="n"/>
      <c r="F293" s="25">
        <f>IF($D293="","",IFERROR(VLOOKUP($D293,'Products &amp; Pricing'!$A$14:$D$41,4,FALSE),""))</f>
        <v/>
      </c>
      <c r="G293" s="25">
        <f>IF($D293="","",N(E293)*N(F293))</f>
        <v/>
      </c>
      <c r="H293" s="24" t="n"/>
      <c r="I293" s="24" t="n"/>
      <c r="J293" s="25">
        <f>IF($D293="","",N(G293)+N(H293)-N(I293))</f>
        <v/>
      </c>
      <c r="K293" s="24" t="n"/>
      <c r="L293" s="25">
        <f>IF($D293="","",N(J293)-N(K293))</f>
        <v/>
      </c>
    </row>
    <row r="294">
      <c r="A294" s="35" t="n"/>
      <c r="B294" s="9" t="n"/>
      <c r="C294" s="9" t="n"/>
      <c r="D294" s="9" t="n"/>
      <c r="E294" s="40" t="n"/>
      <c r="F294" s="25">
        <f>IF($D294="","",IFERROR(VLOOKUP($D294,'Products &amp; Pricing'!$A$14:$D$41,4,FALSE),""))</f>
        <v/>
      </c>
      <c r="G294" s="25">
        <f>IF($D294="","",N(E294)*N(F294))</f>
        <v/>
      </c>
      <c r="H294" s="24" t="n"/>
      <c r="I294" s="24" t="n"/>
      <c r="J294" s="25">
        <f>IF($D294="","",N(G294)+N(H294)-N(I294))</f>
        <v/>
      </c>
      <c r="K294" s="24" t="n"/>
      <c r="L294" s="25">
        <f>IF($D294="","",N(J294)-N(K294))</f>
        <v/>
      </c>
    </row>
    <row r="295">
      <c r="A295" s="35" t="n"/>
      <c r="B295" s="9" t="n"/>
      <c r="C295" s="9" t="n"/>
      <c r="D295" s="9" t="n"/>
      <c r="E295" s="40" t="n"/>
      <c r="F295" s="25">
        <f>IF($D295="","",IFERROR(VLOOKUP($D295,'Products &amp; Pricing'!$A$14:$D$41,4,FALSE),""))</f>
        <v/>
      </c>
      <c r="G295" s="25">
        <f>IF($D295="","",N(E295)*N(F295))</f>
        <v/>
      </c>
      <c r="H295" s="24" t="n"/>
      <c r="I295" s="24" t="n"/>
      <c r="J295" s="25">
        <f>IF($D295="","",N(G295)+N(H295)-N(I295))</f>
        <v/>
      </c>
      <c r="K295" s="24" t="n"/>
      <c r="L295" s="25">
        <f>IF($D295="","",N(J295)-N(K295))</f>
        <v/>
      </c>
    </row>
    <row r="296">
      <c r="A296" s="35" t="n"/>
      <c r="B296" s="9" t="n"/>
      <c r="C296" s="9" t="n"/>
      <c r="D296" s="9" t="n"/>
      <c r="E296" s="40" t="n"/>
      <c r="F296" s="25">
        <f>IF($D296="","",IFERROR(VLOOKUP($D296,'Products &amp; Pricing'!$A$14:$D$41,4,FALSE),""))</f>
        <v/>
      </c>
      <c r="G296" s="25">
        <f>IF($D296="","",N(E296)*N(F296))</f>
        <v/>
      </c>
      <c r="H296" s="24" t="n"/>
      <c r="I296" s="24" t="n"/>
      <c r="J296" s="25">
        <f>IF($D296="","",N(G296)+N(H296)-N(I296))</f>
        <v/>
      </c>
      <c r="K296" s="24" t="n"/>
      <c r="L296" s="25">
        <f>IF($D296="","",N(J296)-N(K296))</f>
        <v/>
      </c>
    </row>
    <row r="297">
      <c r="A297" s="35" t="n"/>
      <c r="B297" s="9" t="n"/>
      <c r="C297" s="9" t="n"/>
      <c r="D297" s="9" t="n"/>
      <c r="E297" s="40" t="n"/>
      <c r="F297" s="25">
        <f>IF($D297="","",IFERROR(VLOOKUP($D297,'Products &amp; Pricing'!$A$14:$D$41,4,FALSE),""))</f>
        <v/>
      </c>
      <c r="G297" s="25">
        <f>IF($D297="","",N(E297)*N(F297))</f>
        <v/>
      </c>
      <c r="H297" s="24" t="n"/>
      <c r="I297" s="24" t="n"/>
      <c r="J297" s="25">
        <f>IF($D297="","",N(G297)+N(H297)-N(I297))</f>
        <v/>
      </c>
      <c r="K297" s="24" t="n"/>
      <c r="L297" s="25">
        <f>IF($D297="","",N(J297)-N(K297))</f>
        <v/>
      </c>
    </row>
    <row r="298">
      <c r="A298" s="35" t="n"/>
      <c r="B298" s="9" t="n"/>
      <c r="C298" s="9" t="n"/>
      <c r="D298" s="9" t="n"/>
      <c r="E298" s="40" t="n"/>
      <c r="F298" s="25">
        <f>IF($D298="","",IFERROR(VLOOKUP($D298,'Products &amp; Pricing'!$A$14:$D$41,4,FALSE),""))</f>
        <v/>
      </c>
      <c r="G298" s="25">
        <f>IF($D298="","",N(E298)*N(F298))</f>
        <v/>
      </c>
      <c r="H298" s="24" t="n"/>
      <c r="I298" s="24" t="n"/>
      <c r="J298" s="25">
        <f>IF($D298="","",N(G298)+N(H298)-N(I298))</f>
        <v/>
      </c>
      <c r="K298" s="24" t="n"/>
      <c r="L298" s="25">
        <f>IF($D298="","",N(J298)-N(K298))</f>
        <v/>
      </c>
    </row>
    <row r="299">
      <c r="A299" s="35" t="n"/>
      <c r="B299" s="9" t="n"/>
      <c r="C299" s="9" t="n"/>
      <c r="D299" s="9" t="n"/>
      <c r="E299" s="40" t="n"/>
      <c r="F299" s="25">
        <f>IF($D299="","",IFERROR(VLOOKUP($D299,'Products &amp; Pricing'!$A$14:$D$41,4,FALSE),""))</f>
        <v/>
      </c>
      <c r="G299" s="25">
        <f>IF($D299="","",N(E299)*N(F299))</f>
        <v/>
      </c>
      <c r="H299" s="24" t="n"/>
      <c r="I299" s="24" t="n"/>
      <c r="J299" s="25">
        <f>IF($D299="","",N(G299)+N(H299)-N(I299))</f>
        <v/>
      </c>
      <c r="K299" s="24" t="n"/>
      <c r="L299" s="25">
        <f>IF($D299="","",N(J299)-N(K299))</f>
        <v/>
      </c>
    </row>
    <row r="300">
      <c r="A300" s="35" t="n"/>
      <c r="B300" s="9" t="n"/>
      <c r="C300" s="9" t="n"/>
      <c r="D300" s="9" t="n"/>
      <c r="E300" s="40" t="n"/>
      <c r="F300" s="25">
        <f>IF($D300="","",IFERROR(VLOOKUP($D300,'Products &amp; Pricing'!$A$14:$D$41,4,FALSE),""))</f>
        <v/>
      </c>
      <c r="G300" s="25">
        <f>IF($D300="","",N(E300)*N(F300))</f>
        <v/>
      </c>
      <c r="H300" s="24" t="n"/>
      <c r="I300" s="24" t="n"/>
      <c r="J300" s="25">
        <f>IF($D300="","",N(G300)+N(H300)-N(I300))</f>
        <v/>
      </c>
      <c r="K300" s="24" t="n"/>
      <c r="L300" s="25">
        <f>IF($D300="","",N(J300)-N(K300))</f>
        <v/>
      </c>
    </row>
    <row r="301">
      <c r="A301" s="35" t="n"/>
      <c r="B301" s="9" t="n"/>
      <c r="C301" s="9" t="n"/>
      <c r="D301" s="9" t="n"/>
      <c r="E301" s="40" t="n"/>
      <c r="F301" s="25">
        <f>IF($D301="","",IFERROR(VLOOKUP($D301,'Products &amp; Pricing'!$A$14:$D$41,4,FALSE),""))</f>
        <v/>
      </c>
      <c r="G301" s="25">
        <f>IF($D301="","",N(E301)*N(F301))</f>
        <v/>
      </c>
      <c r="H301" s="24" t="n"/>
      <c r="I301" s="24" t="n"/>
      <c r="J301" s="25">
        <f>IF($D301="","",N(G301)+N(H301)-N(I301))</f>
        <v/>
      </c>
      <c r="K301" s="24" t="n"/>
      <c r="L301" s="25">
        <f>IF($D301="","",N(J301)-N(K301))</f>
        <v/>
      </c>
    </row>
    <row r="302">
      <c r="A302" s="35" t="n"/>
      <c r="B302" s="9" t="n"/>
      <c r="C302" s="9" t="n"/>
      <c r="D302" s="9" t="n"/>
      <c r="E302" s="40" t="n"/>
      <c r="F302" s="25">
        <f>IF($D302="","",IFERROR(VLOOKUP($D302,'Products &amp; Pricing'!$A$14:$D$41,4,FALSE),""))</f>
        <v/>
      </c>
      <c r="G302" s="25">
        <f>IF($D302="","",N(E302)*N(F302))</f>
        <v/>
      </c>
      <c r="H302" s="24" t="n"/>
      <c r="I302" s="24" t="n"/>
      <c r="J302" s="25">
        <f>IF($D302="","",N(G302)+N(H302)-N(I302))</f>
        <v/>
      </c>
      <c r="K302" s="24" t="n"/>
      <c r="L302" s="25">
        <f>IF($D302="","",N(J302)-N(K302))</f>
        <v/>
      </c>
    </row>
    <row r="303">
      <c r="A303" s="35" t="n"/>
      <c r="B303" s="9" t="n"/>
      <c r="C303" s="9" t="n"/>
      <c r="D303" s="9" t="n"/>
      <c r="E303" s="40" t="n"/>
      <c r="F303" s="25">
        <f>IF($D303="","",IFERROR(VLOOKUP($D303,'Products &amp; Pricing'!$A$14:$D$41,4,FALSE),""))</f>
        <v/>
      </c>
      <c r="G303" s="25">
        <f>IF($D303="","",N(E303)*N(F303))</f>
        <v/>
      </c>
      <c r="H303" s="24" t="n"/>
      <c r="I303" s="24" t="n"/>
      <c r="J303" s="25">
        <f>IF($D303="","",N(G303)+N(H303)-N(I303))</f>
        <v/>
      </c>
      <c r="K303" s="24" t="n"/>
      <c r="L303" s="25">
        <f>IF($D303="","",N(J303)-N(K303))</f>
        <v/>
      </c>
    </row>
    <row r="304">
      <c r="A304" s="35" t="n"/>
      <c r="B304" s="9" t="n"/>
      <c r="C304" s="9" t="n"/>
      <c r="D304" s="9" t="n"/>
      <c r="E304" s="40" t="n"/>
      <c r="F304" s="25">
        <f>IF($D304="","",IFERROR(VLOOKUP($D304,'Products &amp; Pricing'!$A$14:$D$41,4,FALSE),""))</f>
        <v/>
      </c>
      <c r="G304" s="25">
        <f>IF($D304="","",N(E304)*N(F304))</f>
        <v/>
      </c>
      <c r="H304" s="24" t="n"/>
      <c r="I304" s="24" t="n"/>
      <c r="J304" s="25">
        <f>IF($D304="","",N(G304)+N(H304)-N(I304))</f>
        <v/>
      </c>
      <c r="K304" s="24" t="n"/>
      <c r="L304" s="25">
        <f>IF($D304="","",N(J304)-N(K304))</f>
        <v/>
      </c>
    </row>
    <row r="305">
      <c r="A305" s="35" t="n"/>
      <c r="B305" s="9" t="n"/>
      <c r="C305" s="9" t="n"/>
      <c r="D305" s="9" t="n"/>
      <c r="E305" s="40" t="n"/>
      <c r="F305" s="25">
        <f>IF($D305="","",IFERROR(VLOOKUP($D305,'Products &amp; Pricing'!$A$14:$D$41,4,FALSE),""))</f>
        <v/>
      </c>
      <c r="G305" s="25">
        <f>IF($D305="","",N(E305)*N(F305))</f>
        <v/>
      </c>
      <c r="H305" s="24" t="n"/>
      <c r="I305" s="24" t="n"/>
      <c r="J305" s="25">
        <f>IF($D305="","",N(G305)+N(H305)-N(I305))</f>
        <v/>
      </c>
      <c r="K305" s="24" t="n"/>
      <c r="L305" s="25">
        <f>IF($D305="","",N(J305)-N(K305))</f>
        <v/>
      </c>
    </row>
    <row r="306">
      <c r="A306" s="35" t="n"/>
      <c r="B306" s="9" t="n"/>
      <c r="C306" s="9" t="n"/>
      <c r="D306" s="9" t="n"/>
      <c r="E306" s="40" t="n"/>
      <c r="F306" s="25">
        <f>IF($D306="","",IFERROR(VLOOKUP($D306,'Products &amp; Pricing'!$A$14:$D$41,4,FALSE),""))</f>
        <v/>
      </c>
      <c r="G306" s="25">
        <f>IF($D306="","",N(E306)*N(F306))</f>
        <v/>
      </c>
      <c r="H306" s="24" t="n"/>
      <c r="I306" s="24" t="n"/>
      <c r="J306" s="25">
        <f>IF($D306="","",N(G306)+N(H306)-N(I306))</f>
        <v/>
      </c>
      <c r="K306" s="24" t="n"/>
      <c r="L306" s="25">
        <f>IF($D306="","",N(J306)-N(K306))</f>
        <v/>
      </c>
    </row>
    <row r="307">
      <c r="A307" s="35" t="n"/>
      <c r="B307" s="9" t="n"/>
      <c r="C307" s="9" t="n"/>
      <c r="D307" s="9" t="n"/>
      <c r="E307" s="40" t="n"/>
      <c r="F307" s="25">
        <f>IF($D307="","",IFERROR(VLOOKUP($D307,'Products &amp; Pricing'!$A$14:$D$41,4,FALSE),""))</f>
        <v/>
      </c>
      <c r="G307" s="25">
        <f>IF($D307="","",N(E307)*N(F307))</f>
        <v/>
      </c>
      <c r="H307" s="24" t="n"/>
      <c r="I307" s="24" t="n"/>
      <c r="J307" s="25">
        <f>IF($D307="","",N(G307)+N(H307)-N(I307))</f>
        <v/>
      </c>
      <c r="K307" s="24" t="n"/>
      <c r="L307" s="25">
        <f>IF($D307="","",N(J307)-N(K307))</f>
        <v/>
      </c>
    </row>
    <row r="308">
      <c r="A308" s="35" t="n"/>
      <c r="B308" s="9" t="n"/>
      <c r="C308" s="9" t="n"/>
      <c r="D308" s="9" t="n"/>
      <c r="E308" s="40" t="n"/>
      <c r="F308" s="25">
        <f>IF($D308="","",IFERROR(VLOOKUP($D308,'Products &amp; Pricing'!$A$14:$D$41,4,FALSE),""))</f>
        <v/>
      </c>
      <c r="G308" s="25">
        <f>IF($D308="","",N(E308)*N(F308))</f>
        <v/>
      </c>
      <c r="H308" s="24" t="n"/>
      <c r="I308" s="24" t="n"/>
      <c r="J308" s="25">
        <f>IF($D308="","",N(G308)+N(H308)-N(I308))</f>
        <v/>
      </c>
      <c r="K308" s="24" t="n"/>
      <c r="L308" s="25">
        <f>IF($D308="","",N(J308)-N(K308))</f>
        <v/>
      </c>
    </row>
    <row r="309">
      <c r="A309" s="35" t="n"/>
      <c r="B309" s="9" t="n"/>
      <c r="C309" s="9" t="n"/>
      <c r="D309" s="9" t="n"/>
      <c r="E309" s="40" t="n"/>
      <c r="F309" s="25">
        <f>IF($D309="","",IFERROR(VLOOKUP($D309,'Products &amp; Pricing'!$A$14:$D$41,4,FALSE),""))</f>
        <v/>
      </c>
      <c r="G309" s="25">
        <f>IF($D309="","",N(E309)*N(F309))</f>
        <v/>
      </c>
      <c r="H309" s="24" t="n"/>
      <c r="I309" s="24" t="n"/>
      <c r="J309" s="25">
        <f>IF($D309="","",N(G309)+N(H309)-N(I309))</f>
        <v/>
      </c>
      <c r="K309" s="24" t="n"/>
      <c r="L309" s="25">
        <f>IF($D309="","",N(J309)-N(K309))</f>
        <v/>
      </c>
    </row>
    <row r="310">
      <c r="A310" s="35" t="n"/>
      <c r="B310" s="9" t="n"/>
      <c r="C310" s="9" t="n"/>
      <c r="D310" s="9" t="n"/>
      <c r="E310" s="40" t="n"/>
      <c r="F310" s="25">
        <f>IF($D310="","",IFERROR(VLOOKUP($D310,'Products &amp; Pricing'!$A$14:$D$41,4,FALSE),""))</f>
        <v/>
      </c>
      <c r="G310" s="25">
        <f>IF($D310="","",N(E310)*N(F310))</f>
        <v/>
      </c>
      <c r="H310" s="24" t="n"/>
      <c r="I310" s="24" t="n"/>
      <c r="J310" s="25">
        <f>IF($D310="","",N(G310)+N(H310)-N(I310))</f>
        <v/>
      </c>
      <c r="K310" s="24" t="n"/>
      <c r="L310" s="25">
        <f>IF($D310="","",N(J310)-N(K310))</f>
        <v/>
      </c>
    </row>
    <row r="311">
      <c r="A311" s="35" t="n"/>
      <c r="B311" s="9" t="n"/>
      <c r="C311" s="9" t="n"/>
      <c r="D311" s="9" t="n"/>
      <c r="E311" s="40" t="n"/>
      <c r="F311" s="25">
        <f>IF($D311="","",IFERROR(VLOOKUP($D311,'Products &amp; Pricing'!$A$14:$D$41,4,FALSE),""))</f>
        <v/>
      </c>
      <c r="G311" s="25">
        <f>IF($D311="","",N(E311)*N(F311))</f>
        <v/>
      </c>
      <c r="H311" s="24" t="n"/>
      <c r="I311" s="24" t="n"/>
      <c r="J311" s="25">
        <f>IF($D311="","",N(G311)+N(H311)-N(I311))</f>
        <v/>
      </c>
      <c r="K311" s="24" t="n"/>
      <c r="L311" s="25">
        <f>IF($D311="","",N(J311)-N(K311))</f>
        <v/>
      </c>
    </row>
    <row r="312">
      <c r="A312" s="35" t="n"/>
      <c r="B312" s="9" t="n"/>
      <c r="C312" s="9" t="n"/>
      <c r="D312" s="9" t="n"/>
      <c r="E312" s="40" t="n"/>
      <c r="F312" s="25">
        <f>IF($D312="","",IFERROR(VLOOKUP($D312,'Products &amp; Pricing'!$A$14:$D$41,4,FALSE),""))</f>
        <v/>
      </c>
      <c r="G312" s="25">
        <f>IF($D312="","",N(E312)*N(F312))</f>
        <v/>
      </c>
      <c r="H312" s="24" t="n"/>
      <c r="I312" s="24" t="n"/>
      <c r="J312" s="25">
        <f>IF($D312="","",N(G312)+N(H312)-N(I312))</f>
        <v/>
      </c>
      <c r="K312" s="24" t="n"/>
      <c r="L312" s="25">
        <f>IF($D312="","",N(J312)-N(K312))</f>
        <v/>
      </c>
    </row>
    <row r="313">
      <c r="A313" s="35" t="n"/>
      <c r="B313" s="9" t="n"/>
      <c r="C313" s="9" t="n"/>
      <c r="D313" s="9" t="n"/>
      <c r="E313" s="40" t="n"/>
      <c r="F313" s="25">
        <f>IF($D313="","",IFERROR(VLOOKUP($D313,'Products &amp; Pricing'!$A$14:$D$41,4,FALSE),""))</f>
        <v/>
      </c>
      <c r="G313" s="25">
        <f>IF($D313="","",N(E313)*N(F313))</f>
        <v/>
      </c>
      <c r="H313" s="24" t="n"/>
      <c r="I313" s="24" t="n"/>
      <c r="J313" s="25">
        <f>IF($D313="","",N(G313)+N(H313)-N(I313))</f>
        <v/>
      </c>
      <c r="K313" s="24" t="n"/>
      <c r="L313" s="25">
        <f>IF($D313="","",N(J313)-N(K313))</f>
        <v/>
      </c>
    </row>
    <row r="314">
      <c r="A314" s="29" t="n"/>
      <c r="B314" s="29" t="n"/>
      <c r="C314" s="29" t="inlineStr">
        <is>
          <t>TOTALS</t>
        </is>
      </c>
      <c r="D314" s="29" t="n"/>
      <c r="E314" s="30">
        <f>SUM(E14:E313)</f>
        <v/>
      </c>
      <c r="F314" s="29" t="n"/>
      <c r="G314" s="31">
        <f>SUM(G14:G313)</f>
        <v/>
      </c>
      <c r="H314" s="31">
        <f>SUM(H14:H313)</f>
        <v/>
      </c>
      <c r="I314" s="31">
        <f>SUM(I14:I313)</f>
        <v/>
      </c>
      <c r="J314" s="31">
        <f>SUM(J14:J313)</f>
        <v/>
      </c>
      <c r="K314" s="31">
        <f>SUM(K14:K313)</f>
        <v/>
      </c>
      <c r="L314" s="31">
        <f>SUM(L14:L313)</f>
        <v/>
      </c>
    </row>
  </sheetData>
  <mergeCells count="2">
    <mergeCell ref="A2:L2"/>
    <mergeCell ref="A1:L1"/>
  </mergeCells>
  <conditionalFormatting sqref="A14:E313">
    <cfRule type="expression" priority="1" dxfId="10">
      <formula>MOD(ROW(),2)=0</formula>
    </cfRule>
  </conditionalFormatting>
  <dataValidations count="2">
    <dataValidation sqref="C14:C313" showDropDown="0" showInputMessage="0" showErrorMessage="1" allowBlank="1" type="list">
      <formula1>"Kickstarter,Website,In Person,Market / Event,Social Media,Wholesale,Other"</formula1>
    </dataValidation>
    <dataValidation sqref="D14:D313" showDropDown="0" showInputMessage="0" showErrorMessage="0" allowBlank="1" type="list">
      <formula1>ProductList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3C6FB0"/>
    <outlinePr summaryBelow="1" summaryRight="1"/>
    <pageSetUpPr/>
  </sheetPr>
  <dimension ref="A1:P5460"/>
  <sheetViews>
    <sheetView zoomScale="80" zoomScaleNormal="80" workbookViewId="0">
      <pane xSplit="2" ySplit="14" topLeftCell="C23" activePane="bottomRight" state="frozen"/>
      <selection pane="topRight" activeCell="A1" sqref="A1"/>
      <selection pane="bottomLeft" activeCell="A1" sqref="A1"/>
      <selection pane="bottomRight" activeCell="P28" sqref="P28"/>
    </sheetView>
  </sheetViews>
  <sheetFormatPr baseColWidth="8" defaultRowHeight="14.4"/>
  <cols>
    <col width="9" customWidth="1" style="69" min="1" max="1"/>
    <col width="22.33203125" customWidth="1" style="69" min="2" max="2"/>
    <col width="19.44140625" customWidth="1" style="69" min="3" max="3"/>
    <col width="22" customWidth="1" style="69" min="4" max="4"/>
    <col width="32.6640625" customWidth="1" style="69" min="5" max="5"/>
    <col width="6" customWidth="1" style="69" min="6" max="6"/>
    <col width="24" customWidth="1" style="69" min="7" max="7"/>
    <col width="14" customWidth="1" style="69" min="8" max="8"/>
    <col width="7" customWidth="1" style="69" min="9" max="9"/>
    <col width="13.109375" customWidth="1" style="69" min="10" max="10"/>
    <col width="13" customWidth="1" style="69" min="11" max="11"/>
    <col width="12" customWidth="1" style="69" min="12" max="12"/>
    <col width="16" customWidth="1" style="69" min="13" max="13"/>
    <col width="14" customWidth="1" style="69" min="14" max="14"/>
    <col width="11" customWidth="1" style="69" min="15" max="15"/>
    <col width="24" customWidth="1" style="69" min="16" max="16"/>
  </cols>
  <sheetData>
    <row r="1" ht="26.1" customHeight="1" s="69">
      <c r="A1" s="68" t="inlineStr">
        <is>
          <t>Orders — Who Ordered What &amp; Has It Shipped</t>
        </is>
      </c>
    </row>
    <row r="2" ht="15.9" customHeight="1" s="69">
      <c r="A2" s="70" t="inlineStr">
        <is>
          <t>Your fulfillment command center: customer, items, shipping address, tracking, and order status.</t>
        </is>
      </c>
    </row>
    <row r="4" ht="14.1" customHeight="1" s="69">
      <c r="A4" s="12" t="inlineStr">
        <is>
          <t>WHAT THIS TAB IS FOR:  making sure nobody who paid you gets forgotten. One row per order (money details live on the Sales Log).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14.1" customHeight="1" s="69">
      <c r="A5" s="13" t="inlineStr">
        <is>
          <t>WHAT GOES HERE:  the same Order # you used on the Sales Log, the date it came in, customer name and contact,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</row>
    <row r="6" ht="14.1" customHeight="1" s="69">
      <c r="A6" s="13" t="inlineStr">
        <is>
          <t>what they ordered — pick a product OR a Kickstarter reward tier from the dropdown, or type a list like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</row>
    <row r="7" ht="14.1" customHeight="1" s="69">
      <c r="A7" s="13" t="inlineStr">
        <is>
          <t>'2x Drifters, 1x The Classics' — plus quantity and the FULL shipping address (street / city / state / ZIP).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14.1" customHeight="1" s="69">
      <c r="A8" s="13" t="inlineStr">
        <is>
          <t>AS YOU WORK THE ORDER:  update Status —  New → In Production → Packed → Shipped → Delivered.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</row>
    <row r="9" ht="14.1" customHeight="1" s="69">
      <c r="A9" s="13" t="inlineStr">
        <is>
          <t>When it ships, enter Date Shipped and the Tracking #, and flip Fulfilled? to Yes (turns green; No stays red so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14.1" customHeight="1" s="69">
      <c r="A10" s="13" t="inlineStr">
        <is>
          <t>unshipped orders jump out at you). The counters below always show how many orders are still waiting on you.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 ht="14.1" customHeight="1" s="69">
      <c r="A11" s="13" t="inlineStr">
        <is>
          <t>KICKSTARTER BACKER REWARDS count as orders too — enter them here the day the campaign ends.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3">
      <c r="B13" s="3" t="inlineStr">
        <is>
          <t>Orders received:</t>
        </is>
      </c>
      <c r="C13" s="41">
        <f>COUNTA(C15:C314)</f>
        <v/>
      </c>
      <c r="D13" s="3" t="inlineStr">
        <is>
          <t>Fulfilled:</t>
        </is>
      </c>
      <c r="E13" s="10">
        <f>COUNTIF(O15:O314,"Yes")</f>
        <v/>
      </c>
      <c r="G13" s="3" t="inlineStr">
        <is>
          <t>Still open:</t>
        </is>
      </c>
      <c r="H13" s="11">
        <f>C13-E13</f>
        <v/>
      </c>
      <c r="J13" s="3" t="inlineStr">
        <is>
          <t>% fulfilled:</t>
        </is>
      </c>
      <c r="K13" s="39">
        <f>IF(C13=0,"",E13/C13)</f>
        <v/>
      </c>
      <c r="P13" s="92" t="inlineStr">
        <is>
          <t>Order # is typed by you — the counter now reads the Customer Name column</t>
        </is>
      </c>
    </row>
    <row r="14" ht="27.9" customHeight="1" s="69">
      <c r="A14" s="23" t="inlineStr">
        <is>
          <t>Order #</t>
        </is>
      </c>
      <c r="B14" s="23" t="inlineStr">
        <is>
          <t>Date Received</t>
        </is>
      </c>
      <c r="C14" s="23" t="inlineStr">
        <is>
          <t>Customer Name</t>
        </is>
      </c>
      <c r="D14" s="23" t="inlineStr">
        <is>
          <t>Email / Phone</t>
        </is>
      </c>
      <c r="E14" s="23" t="inlineStr">
        <is>
          <t>Product(s) Ordered</t>
        </is>
      </c>
      <c r="F14" s="23" t="inlineStr">
        <is>
          <t>Qty</t>
        </is>
      </c>
      <c r="G14" s="23" t="inlineStr">
        <is>
          <t>Street Address</t>
        </is>
      </c>
      <c r="H14" s="23" t="inlineStr">
        <is>
          <t>City</t>
        </is>
      </c>
      <c r="I14" s="23" t="inlineStr">
        <is>
          <t>State</t>
        </is>
      </c>
      <c r="J14" s="23" t="inlineStr">
        <is>
          <t>ZIP</t>
        </is>
      </c>
      <c r="K14" s="23" t="inlineStr">
        <is>
          <t>Ship Method</t>
        </is>
      </c>
      <c r="L14" s="23" t="inlineStr">
        <is>
          <t>Date Shipped</t>
        </is>
      </c>
      <c r="M14" s="23" t="inlineStr">
        <is>
          <t>Tracking #</t>
        </is>
      </c>
      <c r="N14" s="23" t="inlineStr">
        <is>
          <t>Status</t>
        </is>
      </c>
      <c r="O14" s="23" t="inlineStr">
        <is>
          <t>Fulfilled?</t>
        </is>
      </c>
      <c r="P14" s="23" t="inlineStr">
        <is>
          <t>Notes</t>
        </is>
      </c>
    </row>
    <row r="15" ht="30" customHeight="1" s="69">
      <c r="A15" s="9" t="n">
        <v>1</v>
      </c>
      <c r="B15" s="35" t="n">
        <v>46210</v>
      </c>
      <c r="C15" s="45" t="inlineStr">
        <is>
          <t>Kickstarter (Tzvi Alexander Lowy)</t>
        </is>
      </c>
      <c r="D15" s="45" t="inlineStr">
        <is>
          <t>Kickstarter</t>
        </is>
      </c>
      <c r="E15" s="9" t="inlineStr">
        <is>
          <t>First Wave (1 of Any Pair) + Shipping</t>
        </is>
      </c>
      <c r="F15" s="40" t="n">
        <v>1</v>
      </c>
      <c r="G15" s="9" t="n"/>
      <c r="H15" s="9" t="n"/>
      <c r="I15" s="9" t="n"/>
      <c r="J15" s="9" t="n"/>
      <c r="K15" s="9" t="n"/>
      <c r="L15" s="35" t="n"/>
      <c r="M15" s="9" t="n"/>
      <c r="N15" s="9" t="n"/>
      <c r="O15" s="9" t="inlineStr">
        <is>
          <t>No</t>
        </is>
      </c>
      <c r="P15" s="45" t="inlineStr">
        <is>
          <t>Survey needed for address and pair choice</t>
        </is>
      </c>
    </row>
    <row r="16" ht="30" customHeight="1" s="69">
      <c r="A16" s="9" t="n">
        <v>2</v>
      </c>
      <c r="B16" s="35" t="n">
        <v>46210</v>
      </c>
      <c r="C16" s="45" t="inlineStr">
        <is>
          <t>kicstarter (Ryne)</t>
        </is>
      </c>
      <c r="D16" s="45" t="inlineStr">
        <is>
          <t>Kickstarter</t>
        </is>
      </c>
      <c r="E16" s="45" t="inlineStr">
        <is>
          <t>First Wave (1 of Any Pair) + Shipping</t>
        </is>
      </c>
      <c r="F16" s="40" t="n">
        <v>1</v>
      </c>
      <c r="G16" s="9" t="n"/>
      <c r="H16" s="9" t="n"/>
      <c r="I16" s="9" t="n"/>
      <c r="J16" s="9" t="n"/>
      <c r="K16" s="9" t="n"/>
      <c r="L16" s="35" t="n"/>
      <c r="M16" s="9" t="n"/>
      <c r="N16" s="9" t="n"/>
      <c r="O16" s="9" t="inlineStr">
        <is>
          <t>No</t>
        </is>
      </c>
      <c r="P16" s="45" t="inlineStr">
        <is>
          <t>Survey needed for address and pair choice</t>
        </is>
      </c>
    </row>
    <row r="17" ht="30" customHeight="1" s="69">
      <c r="A17" s="9" t="n">
        <v>3</v>
      </c>
      <c r="B17" s="35" t="n">
        <v>46211</v>
      </c>
      <c r="C17" s="45" t="inlineStr">
        <is>
          <t>Kickstarter (Nicholas Coffey)</t>
        </is>
      </c>
      <c r="D17" s="45" t="inlineStr">
        <is>
          <t>Kickstarter</t>
        </is>
      </c>
      <c r="E17" s="45" t="inlineStr">
        <is>
          <t>First Wave (1 of Any Pair) + Shipping</t>
        </is>
      </c>
      <c r="F17" s="40" t="n">
        <v>1</v>
      </c>
      <c r="G17" s="9" t="n"/>
      <c r="H17" s="9" t="n"/>
      <c r="I17" s="9" t="n"/>
      <c r="J17" s="9" t="n"/>
      <c r="K17" s="9" t="n"/>
      <c r="L17" s="35" t="n"/>
      <c r="M17" s="9" t="n"/>
      <c r="N17" s="9" t="n"/>
      <c r="O17" s="9" t="inlineStr">
        <is>
          <t>No</t>
        </is>
      </c>
      <c r="P17" s="45" t="inlineStr">
        <is>
          <t>Survey needed for address and pair choice</t>
        </is>
      </c>
    </row>
    <row r="18" ht="30" customHeight="1" s="69">
      <c r="A18" s="9" t="n">
        <v>4</v>
      </c>
      <c r="B18" s="35" t="n">
        <v>46212</v>
      </c>
      <c r="C18" s="45" t="inlineStr">
        <is>
          <t>Kickstarter (Patrick Rager)</t>
        </is>
      </c>
      <c r="D18" s="45" t="inlineStr">
        <is>
          <t>Kickstarter</t>
        </is>
      </c>
      <c r="E18" s="45" t="inlineStr">
        <is>
          <t>Two Pairs - Mix &amp; Match + Shipping</t>
        </is>
      </c>
      <c r="F18" s="40" t="n">
        <v>2</v>
      </c>
      <c r="G18" s="9" t="n"/>
      <c r="H18" s="9" t="n"/>
      <c r="I18" s="9" t="n"/>
      <c r="J18" s="9" t="n"/>
      <c r="K18" s="9" t="n"/>
      <c r="L18" s="35" t="n"/>
      <c r="M18" s="9" t="n"/>
      <c r="N18" s="9" t="n"/>
      <c r="O18" s="9" t="inlineStr">
        <is>
          <t>No</t>
        </is>
      </c>
      <c r="P18" s="45" t="inlineStr">
        <is>
          <t>Survey needed for address and pair choice</t>
        </is>
      </c>
    </row>
    <row r="19" ht="30" customHeight="1" s="69">
      <c r="A19" s="9" t="n">
        <v>5</v>
      </c>
      <c r="B19" s="35" t="n">
        <v>46212</v>
      </c>
      <c r="C19" s="45" t="inlineStr">
        <is>
          <t>Kickstarter (Joy Brisson)</t>
        </is>
      </c>
      <c r="D19" s="45" t="inlineStr">
        <is>
          <t>Kickstarter</t>
        </is>
      </c>
      <c r="E19" s="9" t="inlineStr">
        <is>
          <t>Founders Edition + Shipping + Bonus</t>
        </is>
      </c>
      <c r="F19" s="40" t="n">
        <v>1</v>
      </c>
      <c r="G19" s="9" t="n"/>
      <c r="H19" s="9" t="n"/>
      <c r="I19" s="9" t="n"/>
      <c r="J19" s="9" t="n"/>
      <c r="K19" s="9" t="n"/>
      <c r="L19" s="35" t="n"/>
      <c r="M19" s="9" t="n"/>
      <c r="N19" s="9" t="n"/>
      <c r="O19" s="9" t="inlineStr">
        <is>
          <t>No</t>
        </is>
      </c>
      <c r="P19" s="45" t="inlineStr">
        <is>
          <t>Survey needed for address and pair choice</t>
        </is>
      </c>
    </row>
    <row r="20" ht="30" customHeight="1" s="69">
      <c r="A20" s="9" t="n">
        <v>6</v>
      </c>
      <c r="B20" s="57" t="n">
        <v>46213</v>
      </c>
      <c r="C20" s="59" t="inlineStr">
        <is>
          <t>Kickstarter (Uncle Jeff)</t>
        </is>
      </c>
      <c r="D20" s="45" t="inlineStr">
        <is>
          <t>Kickstarter</t>
        </is>
      </c>
      <c r="E20" s="9" t="inlineStr">
        <is>
          <t>Sticker Pack</t>
        </is>
      </c>
      <c r="F20" s="40" t="n">
        <v>1</v>
      </c>
      <c r="G20" s="9" t="n"/>
      <c r="H20" s="9" t="n"/>
      <c r="I20" s="9" t="n"/>
      <c r="J20" s="9" t="n"/>
      <c r="K20" s="9" t="n"/>
      <c r="L20" s="35" t="n"/>
      <c r="M20" s="9" t="n"/>
      <c r="N20" s="9" t="n"/>
      <c r="O20" s="9" t="inlineStr">
        <is>
          <t>No</t>
        </is>
      </c>
      <c r="P20" s="45" t="inlineStr">
        <is>
          <t>Survey needed for address and pair choice</t>
        </is>
      </c>
    </row>
    <row r="21" ht="30" customHeight="1" s="69">
      <c r="A21" s="9" t="n">
        <v>7</v>
      </c>
      <c r="B21" s="35" t="n">
        <v>46214</v>
      </c>
      <c r="C21" s="9" t="inlineStr">
        <is>
          <t>Kickstarter (Papaw)</t>
        </is>
      </c>
      <c r="D21" s="45" t="inlineStr">
        <is>
          <t>Kickstarter</t>
        </is>
      </c>
      <c r="E21" s="9" t="inlineStr">
        <is>
          <t>Founder Delivers Edition</t>
        </is>
      </c>
      <c r="F21" s="40" t="n">
        <v>1</v>
      </c>
      <c r="G21" s="9" t="n"/>
      <c r="H21" s="9" t="n"/>
      <c r="I21" s="9" t="n"/>
      <c r="J21" s="9" t="n"/>
      <c r="K21" s="9" t="n"/>
      <c r="L21" s="35" t="n"/>
      <c r="M21" s="9" t="n"/>
      <c r="N21" s="9" t="n"/>
      <c r="O21" s="9" t="inlineStr">
        <is>
          <t>No</t>
        </is>
      </c>
      <c r="P21" s="45" t="inlineStr">
        <is>
          <t>Survey needed for address and pair choice</t>
        </is>
      </c>
    </row>
    <row r="22" ht="30" customHeight="1" s="69">
      <c r="A22" s="9" t="n">
        <v>8</v>
      </c>
      <c r="B22" s="35" t="n">
        <v>46214</v>
      </c>
      <c r="C22" s="45" t="inlineStr">
        <is>
          <t>Kickstarter (Adam Carson)</t>
        </is>
      </c>
      <c r="D22" s="45" t="inlineStr">
        <is>
          <t>Kickstarter</t>
        </is>
      </c>
      <c r="E22" s="45" t="inlineStr">
        <is>
          <t>Two Pairs - Mix &amp; Match + Shipping</t>
        </is>
      </c>
      <c r="F22" s="40" t="n">
        <v>2</v>
      </c>
      <c r="G22" s="9" t="n"/>
      <c r="H22" s="9" t="n"/>
      <c r="I22" s="9" t="n"/>
      <c r="J22" s="9" t="n"/>
      <c r="K22" s="9" t="n"/>
      <c r="L22" s="35" t="n"/>
      <c r="M22" s="9" t="n"/>
      <c r="N22" s="9" t="n"/>
      <c r="O22" s="9" t="inlineStr">
        <is>
          <t>No</t>
        </is>
      </c>
      <c r="P22" s="45" t="inlineStr">
        <is>
          <t>Survey needed for address and pair choice</t>
        </is>
      </c>
    </row>
    <row r="23" ht="28.8" customHeight="1" s="69">
      <c r="A23" s="9" t="n">
        <v>9</v>
      </c>
      <c r="B23" s="35" t="n">
        <v>46218</v>
      </c>
      <c r="C23" s="45" t="inlineStr">
        <is>
          <t>Kickstarter (Scott DQ)</t>
        </is>
      </c>
      <c r="D23" s="45" t="inlineStr">
        <is>
          <t>Kickstarter</t>
        </is>
      </c>
      <c r="E23" s="9" t="inlineStr">
        <is>
          <t>Two Pairs - Mix &amp; Match + Shipping</t>
        </is>
      </c>
      <c r="F23" s="40" t="n">
        <v>2</v>
      </c>
      <c r="G23" s="9" t="n"/>
      <c r="H23" s="9" t="n"/>
      <c r="I23" s="9" t="n"/>
      <c r="J23" s="9" t="n"/>
      <c r="K23" s="9" t="n"/>
      <c r="L23" s="35" t="n"/>
      <c r="M23" s="9" t="n"/>
      <c r="N23" s="9" t="n"/>
      <c r="O23" s="9" t="inlineStr">
        <is>
          <t>No</t>
        </is>
      </c>
      <c r="P23" s="45" t="inlineStr">
        <is>
          <t>Survey needed for address and pair choice</t>
        </is>
      </c>
    </row>
    <row r="24" ht="28.8" customHeight="1" s="69">
      <c r="A24" s="9" t="n">
        <v>10</v>
      </c>
      <c r="B24" s="35" t="n">
        <v>46218</v>
      </c>
      <c r="C24" s="45" t="inlineStr">
        <is>
          <t>Kickstarter (Dylan Eberly)</t>
        </is>
      </c>
      <c r="D24" s="45" t="inlineStr">
        <is>
          <t>Kickstarter</t>
        </is>
      </c>
      <c r="E24" s="9" t="inlineStr">
        <is>
          <t>First Wave (1 of Any Pair) + Shipping</t>
        </is>
      </c>
      <c r="F24" s="40" t="n">
        <v>1</v>
      </c>
      <c r="G24" s="9" t="n"/>
      <c r="H24" s="9" t="n"/>
      <c r="I24" s="9" t="n"/>
      <c r="J24" s="9" t="n"/>
      <c r="K24" s="9" t="n"/>
      <c r="L24" s="35" t="n"/>
      <c r="M24" s="9" t="n"/>
      <c r="N24" s="9" t="n"/>
      <c r="O24" s="9" t="inlineStr">
        <is>
          <t>No</t>
        </is>
      </c>
      <c r="P24" s="45" t="inlineStr">
        <is>
          <t>Survey needed for address and pair choice</t>
        </is>
      </c>
    </row>
    <row r="25" ht="28.8" customHeight="1" s="69">
      <c r="A25" s="9" t="n">
        <v>11</v>
      </c>
      <c r="B25" s="35" t="n">
        <v>46218</v>
      </c>
      <c r="C25" s="45" t="inlineStr">
        <is>
          <t>Kickstarer (Diane Dennies)</t>
        </is>
      </c>
      <c r="D25" s="45" t="inlineStr">
        <is>
          <t>Kickstarter</t>
        </is>
      </c>
      <c r="E25" s="9" t="inlineStr">
        <is>
          <t>First Wave (1 of Any Pair) + Shipping</t>
        </is>
      </c>
      <c r="F25" s="40" t="n">
        <v>1</v>
      </c>
      <c r="G25" s="9" t="n"/>
      <c r="H25" s="9" t="n"/>
      <c r="I25" s="9" t="n"/>
      <c r="J25" s="9" t="n"/>
      <c r="K25" s="9" t="n"/>
      <c r="L25" s="35" t="n"/>
      <c r="M25" s="9" t="n"/>
      <c r="N25" s="9" t="n"/>
      <c r="O25" s="9" t="inlineStr">
        <is>
          <t>No</t>
        </is>
      </c>
      <c r="P25" s="45" t="inlineStr">
        <is>
          <t>Survey needed for address and pair choice</t>
        </is>
      </c>
    </row>
    <row r="26" ht="28.8" customHeight="1" s="69">
      <c r="A26" s="9" t="n">
        <v>12</v>
      </c>
      <c r="B26" s="35" t="n">
        <v>46219</v>
      </c>
      <c r="C26" s="45" t="inlineStr">
        <is>
          <t xml:space="preserve">Kickstarter (Sarah Dennies) </t>
        </is>
      </c>
      <c r="D26" s="45" t="inlineStr">
        <is>
          <t>Kickstarter</t>
        </is>
      </c>
      <c r="E26" s="9" t="inlineStr">
        <is>
          <t>Two Pairs - Mix &amp; Match + Shipping</t>
        </is>
      </c>
      <c r="F26" s="40" t="n">
        <v>2</v>
      </c>
      <c r="G26" s="9" t="n"/>
      <c r="H26" s="9" t="n"/>
      <c r="I26" s="9" t="n"/>
      <c r="J26" s="9" t="n"/>
      <c r="K26" s="9" t="n"/>
      <c r="L26" s="35" t="n"/>
      <c r="M26" s="9" t="n"/>
      <c r="N26" s="9" t="n"/>
      <c r="O26" s="9" t="inlineStr">
        <is>
          <t>No</t>
        </is>
      </c>
      <c r="P26" s="45" t="inlineStr">
        <is>
          <t>Survey needed for address and pair choice</t>
        </is>
      </c>
    </row>
    <row r="27" ht="28.8" customHeight="1" s="69">
      <c r="A27" s="9" t="n">
        <v>13</v>
      </c>
      <c r="B27" s="35" t="n">
        <v>46223</v>
      </c>
      <c r="C27" s="45" t="inlineStr">
        <is>
          <t>Kickstarter (Lisa Whiting)</t>
        </is>
      </c>
      <c r="D27" s="45" t="inlineStr">
        <is>
          <t>Kickstarter</t>
        </is>
      </c>
      <c r="E27" s="9" t="inlineStr">
        <is>
          <t>First Wave (1 of Any Pair) + Shipping</t>
        </is>
      </c>
      <c r="F27" s="40" t="n">
        <v>1</v>
      </c>
      <c r="G27" s="9" t="n"/>
      <c r="H27" s="9" t="n"/>
      <c r="I27" s="9" t="n"/>
      <c r="J27" s="9" t="n"/>
      <c r="K27" s="9" t="n"/>
      <c r="L27" s="35" t="n"/>
      <c r="M27" s="9" t="n"/>
      <c r="N27" s="9" t="n"/>
      <c r="O27" s="9" t="inlineStr">
        <is>
          <t>No</t>
        </is>
      </c>
      <c r="P27" s="45" t="inlineStr">
        <is>
          <t>Survey needed for address and pair choice</t>
        </is>
      </c>
    </row>
    <row r="28" ht="28.8" customHeight="1" s="69">
      <c r="A28" s="9" t="n">
        <v>14</v>
      </c>
      <c r="B28" s="35" t="n">
        <v>46225</v>
      </c>
      <c r="C28" s="45" t="inlineStr">
        <is>
          <t>Kickstarter (Mary Makowski)</t>
        </is>
      </c>
      <c r="D28" s="45" t="inlineStr">
        <is>
          <t>Kickstarter</t>
        </is>
      </c>
      <c r="E28" s="9" t="inlineStr">
        <is>
          <t>First Wave (1 of Any Pair) + Shipping</t>
        </is>
      </c>
      <c r="F28" s="40" t="n">
        <v>1</v>
      </c>
      <c r="G28" s="9" t="n"/>
      <c r="H28" s="9" t="n"/>
      <c r="I28" s="9" t="n"/>
      <c r="J28" s="9" t="n"/>
      <c r="K28" s="9" t="n"/>
      <c r="L28" s="35" t="n"/>
      <c r="M28" s="9" t="n"/>
      <c r="N28" s="9" t="n"/>
      <c r="O28" s="9" t="inlineStr">
        <is>
          <t>No</t>
        </is>
      </c>
      <c r="P28" s="45" t="inlineStr">
        <is>
          <t>Survey needed for address and pair choice</t>
        </is>
      </c>
    </row>
    <row r="29" ht="28.8" customHeight="1" s="69">
      <c r="A29" s="9" t="n"/>
      <c r="B29" s="35" t="n"/>
      <c r="C29" s="45" t="n"/>
      <c r="D29" s="45" t="n"/>
      <c r="E29" s="9" t="n"/>
      <c r="F29" s="40" t="n"/>
      <c r="G29" s="9" t="n"/>
      <c r="H29" s="9" t="n"/>
      <c r="I29" s="9" t="n"/>
      <c r="J29" s="9" t="n"/>
      <c r="K29" s="9" t="n"/>
      <c r="L29" s="35" t="n"/>
      <c r="M29" s="9" t="n"/>
      <c r="N29" s="9" t="n"/>
      <c r="O29" s="9" t="n"/>
      <c r="P29" s="45" t="n"/>
    </row>
    <row r="30" ht="28.8" customHeight="1" s="69">
      <c r="A30" s="9" t="n"/>
      <c r="B30" s="35" t="n"/>
      <c r="C30" s="45" t="n"/>
      <c r="D30" s="45" t="n"/>
      <c r="E30" s="9" t="n"/>
      <c r="F30" s="40" t="n"/>
      <c r="G30" s="9" t="n"/>
      <c r="H30" s="9" t="n"/>
      <c r="I30" s="9" t="n"/>
      <c r="J30" s="9" t="n"/>
      <c r="K30" s="9" t="n"/>
      <c r="L30" s="35" t="n"/>
      <c r="M30" s="9" t="n"/>
      <c r="N30" s="9" t="n"/>
      <c r="O30" s="9" t="n"/>
      <c r="P30" s="45" t="n"/>
    </row>
    <row r="31" ht="28.8" customHeight="1" s="69">
      <c r="A31" s="9" t="n"/>
      <c r="B31" s="35" t="n"/>
      <c r="C31" s="45" t="n"/>
      <c r="D31" s="45" t="n"/>
      <c r="E31" s="9" t="n"/>
      <c r="F31" s="40" t="n"/>
      <c r="G31" s="9" t="n"/>
      <c r="H31" s="9" t="n"/>
      <c r="I31" s="9" t="n"/>
      <c r="J31" s="9" t="n"/>
      <c r="K31" s="9" t="n"/>
      <c r="L31" s="35" t="n"/>
      <c r="M31" s="9" t="n"/>
      <c r="N31" s="9" t="n"/>
      <c r="O31" s="9" t="n"/>
      <c r="P31" s="45" t="n"/>
    </row>
    <row r="32" ht="28.8" customHeight="1" s="69">
      <c r="A32" s="9" t="n"/>
      <c r="B32" s="35" t="n"/>
      <c r="C32" s="45" t="n"/>
      <c r="D32" s="45" t="n"/>
      <c r="E32" s="9" t="n"/>
      <c r="F32" s="40" t="n"/>
      <c r="G32" s="9" t="n"/>
      <c r="H32" s="9" t="n"/>
      <c r="I32" s="9" t="n"/>
      <c r="J32" s="9" t="n"/>
      <c r="K32" s="9" t="n"/>
      <c r="L32" s="35" t="n"/>
      <c r="M32" s="9" t="n"/>
      <c r="N32" s="9" t="n"/>
      <c r="O32" s="9" t="n"/>
      <c r="P32" s="45" t="n"/>
    </row>
    <row r="33" ht="28.8" customHeight="1" s="69">
      <c r="A33" s="9" t="n"/>
      <c r="B33" s="35" t="n"/>
      <c r="C33" s="45" t="n"/>
      <c r="D33" s="45" t="n"/>
      <c r="E33" s="9" t="n"/>
      <c r="F33" s="40" t="n"/>
      <c r="G33" s="9" t="n"/>
      <c r="H33" s="9" t="n"/>
      <c r="I33" s="9" t="n"/>
      <c r="J33" s="9" t="n"/>
      <c r="K33" s="9" t="n"/>
      <c r="L33" s="35" t="n"/>
      <c r="M33" s="9" t="n"/>
      <c r="N33" s="9" t="n"/>
      <c r="O33" s="9" t="n"/>
      <c r="P33" s="45" t="n"/>
    </row>
    <row r="34" ht="28.8" customHeight="1" s="69">
      <c r="A34" s="9" t="n"/>
      <c r="B34" s="35" t="n"/>
      <c r="C34" s="45" t="n"/>
      <c r="D34" s="45" t="n"/>
      <c r="E34" s="9" t="n"/>
      <c r="F34" s="40" t="n"/>
      <c r="G34" s="9" t="n"/>
      <c r="H34" s="9" t="n"/>
      <c r="I34" s="9" t="n"/>
      <c r="J34" s="9" t="n"/>
      <c r="K34" s="9" t="n"/>
      <c r="L34" s="35" t="n"/>
      <c r="M34" s="9" t="n"/>
      <c r="N34" s="9" t="n"/>
      <c r="O34" s="9" t="n"/>
      <c r="P34" s="45" t="n"/>
    </row>
    <row r="35" ht="28.8" customHeight="1" s="69">
      <c r="A35" s="9" t="n"/>
      <c r="B35" s="35" t="n"/>
      <c r="C35" s="45" t="n"/>
      <c r="D35" s="45" t="n"/>
      <c r="E35" s="9" t="n"/>
      <c r="F35" s="40" t="n"/>
      <c r="G35" s="9" t="n"/>
      <c r="H35" s="9" t="n"/>
      <c r="I35" s="9" t="n"/>
      <c r="J35" s="9" t="n"/>
      <c r="K35" s="9" t="n"/>
      <c r="L35" s="35" t="n"/>
      <c r="M35" s="9" t="n"/>
      <c r="N35" s="9" t="n"/>
      <c r="O35" s="9" t="n"/>
      <c r="P35" s="45" t="n"/>
    </row>
    <row r="36" ht="28.8" customHeight="1" s="69">
      <c r="A36" s="9" t="n"/>
      <c r="B36" s="35" t="n"/>
      <c r="C36" s="45" t="n"/>
      <c r="D36" s="45" t="n"/>
      <c r="E36" s="9" t="n"/>
      <c r="F36" s="40" t="n"/>
      <c r="G36" s="9" t="n"/>
      <c r="H36" s="9" t="n"/>
      <c r="I36" s="9" t="n"/>
      <c r="J36" s="9" t="n"/>
      <c r="K36" s="9" t="n"/>
      <c r="L36" s="35" t="n"/>
      <c r="M36" s="9" t="n"/>
      <c r="N36" s="9" t="n"/>
      <c r="O36" s="9" t="n"/>
      <c r="P36" s="45" t="n"/>
    </row>
    <row r="37" ht="28.8" customHeight="1" s="69">
      <c r="A37" s="9" t="n"/>
      <c r="B37" s="35" t="n"/>
      <c r="C37" s="45" t="n"/>
      <c r="D37" s="45" t="n"/>
      <c r="E37" s="9" t="n"/>
      <c r="F37" s="40" t="n"/>
      <c r="G37" s="9" t="n"/>
      <c r="H37" s="9" t="n"/>
      <c r="I37" s="9" t="n"/>
      <c r="J37" s="9" t="n"/>
      <c r="K37" s="9" t="n"/>
      <c r="L37" s="35" t="n"/>
      <c r="M37" s="9" t="n"/>
      <c r="N37" s="9" t="n"/>
      <c r="O37" s="9" t="n"/>
      <c r="P37" s="45" t="n"/>
    </row>
    <row r="38" ht="28.8" customHeight="1" s="69">
      <c r="A38" s="9" t="n"/>
      <c r="B38" s="35" t="n"/>
      <c r="C38" s="45" t="n"/>
      <c r="D38" s="45" t="n"/>
      <c r="E38" s="9" t="n"/>
      <c r="F38" s="40" t="n"/>
      <c r="G38" s="9" t="n"/>
      <c r="H38" s="9" t="n"/>
      <c r="I38" s="9" t="n"/>
      <c r="J38" s="9" t="n"/>
      <c r="K38" s="9" t="n"/>
      <c r="L38" s="35" t="n"/>
      <c r="M38" s="9" t="n"/>
      <c r="N38" s="9" t="n"/>
      <c r="O38" s="9" t="n"/>
      <c r="P38" s="45" t="n"/>
    </row>
    <row r="39" ht="28.8" customHeight="1" s="69">
      <c r="A39" s="9" t="n"/>
      <c r="B39" s="35" t="n"/>
      <c r="C39" s="45" t="n"/>
      <c r="D39" s="45" t="n"/>
      <c r="E39" s="9" t="n"/>
      <c r="F39" s="40" t="n"/>
      <c r="G39" s="9" t="n"/>
      <c r="H39" s="9" t="n"/>
      <c r="I39" s="9" t="n"/>
      <c r="J39" s="9" t="n"/>
      <c r="K39" s="9" t="n"/>
      <c r="L39" s="35" t="n"/>
      <c r="M39" s="9" t="n"/>
      <c r="N39" s="9" t="n"/>
      <c r="O39" s="9" t="n"/>
      <c r="P39" s="45" t="n"/>
    </row>
    <row r="40" ht="28.8" customHeight="1" s="69">
      <c r="A40" s="9" t="n"/>
      <c r="B40" s="35" t="n"/>
      <c r="C40" s="45" t="n"/>
      <c r="D40" s="45" t="n"/>
      <c r="E40" s="9" t="n"/>
      <c r="F40" s="40" t="n"/>
      <c r="G40" s="9" t="n"/>
      <c r="H40" s="9" t="n"/>
      <c r="I40" s="9" t="n"/>
      <c r="J40" s="9" t="n"/>
      <c r="K40" s="9" t="n"/>
      <c r="L40" s="35" t="n"/>
      <c r="M40" s="9" t="n"/>
      <c r="N40" s="9" t="n"/>
      <c r="O40" s="9" t="n"/>
      <c r="P40" s="45" t="n"/>
    </row>
    <row r="41" ht="28.8" customHeight="1" s="69">
      <c r="A41" s="9" t="n"/>
      <c r="B41" s="35" t="n"/>
      <c r="C41" s="45" t="n"/>
      <c r="D41" s="45" t="n"/>
      <c r="E41" s="9" t="n"/>
      <c r="F41" s="40" t="n"/>
      <c r="G41" s="9" t="n"/>
      <c r="H41" s="9" t="n"/>
      <c r="I41" s="9" t="n"/>
      <c r="J41" s="9" t="n"/>
      <c r="K41" s="9" t="n"/>
      <c r="L41" s="35" t="n"/>
      <c r="M41" s="9" t="n"/>
      <c r="N41" s="9" t="n"/>
      <c r="O41" s="9" t="n"/>
      <c r="P41" s="45" t="n"/>
    </row>
    <row r="42" ht="28.8" customHeight="1" s="69">
      <c r="A42" s="9" t="n"/>
      <c r="B42" s="35" t="n"/>
      <c r="C42" s="45" t="n"/>
      <c r="D42" s="45" t="n"/>
      <c r="E42" s="9" t="n"/>
      <c r="F42" s="40" t="n"/>
      <c r="G42" s="9" t="n"/>
      <c r="H42" s="9" t="n"/>
      <c r="I42" s="9" t="n"/>
      <c r="J42" s="9" t="n"/>
      <c r="K42" s="9" t="n"/>
      <c r="L42" s="35" t="n"/>
      <c r="M42" s="9" t="n"/>
      <c r="N42" s="9" t="n"/>
      <c r="O42" s="9" t="n"/>
      <c r="P42" s="45" t="n"/>
    </row>
    <row r="43" ht="28.8" customHeight="1" s="69">
      <c r="A43" s="9" t="n"/>
      <c r="B43" s="35" t="n"/>
      <c r="C43" s="45" t="n"/>
      <c r="D43" s="45" t="n"/>
      <c r="E43" s="9" t="n"/>
      <c r="F43" s="40" t="n"/>
      <c r="G43" s="9" t="n"/>
      <c r="H43" s="9" t="n"/>
      <c r="I43" s="9" t="n"/>
      <c r="J43" s="9" t="n"/>
      <c r="K43" s="9" t="n"/>
      <c r="L43" s="35" t="n"/>
      <c r="M43" s="9" t="n"/>
      <c r="N43" s="9" t="n"/>
      <c r="O43" s="9" t="n"/>
      <c r="P43" s="45" t="n"/>
    </row>
    <row r="44" ht="28.8" customHeight="1" s="69">
      <c r="A44" s="9" t="n"/>
      <c r="B44" s="35" t="n"/>
      <c r="C44" s="45" t="n"/>
      <c r="D44" s="45" t="n"/>
      <c r="E44" s="9" t="n"/>
      <c r="F44" s="40" t="n"/>
      <c r="G44" s="9" t="n"/>
      <c r="H44" s="9" t="n"/>
      <c r="I44" s="9" t="n"/>
      <c r="J44" s="9" t="n"/>
      <c r="K44" s="9" t="n"/>
      <c r="L44" s="35" t="n"/>
      <c r="M44" s="9" t="n"/>
      <c r="N44" s="9" t="n"/>
      <c r="O44" s="9" t="n"/>
      <c r="P44" s="45" t="n"/>
    </row>
    <row r="45" ht="28.8" customHeight="1" s="69">
      <c r="A45" s="9" t="n"/>
      <c r="B45" s="35" t="n"/>
      <c r="C45" s="45" t="n"/>
      <c r="D45" s="45" t="n"/>
      <c r="E45" s="9" t="n"/>
      <c r="F45" s="40" t="n"/>
      <c r="G45" s="9" t="n"/>
      <c r="H45" s="9" t="n"/>
      <c r="I45" s="9" t="n"/>
      <c r="J45" s="9" t="n"/>
      <c r="K45" s="9" t="n"/>
      <c r="L45" s="35" t="n"/>
      <c r="M45" s="9" t="n"/>
      <c r="N45" s="9" t="n"/>
      <c r="O45" s="9" t="n"/>
      <c r="P45" s="45" t="n"/>
    </row>
    <row r="46" ht="28.8" customHeight="1" s="69">
      <c r="A46" s="9" t="n"/>
      <c r="B46" s="35" t="n"/>
      <c r="C46" s="45" t="n"/>
      <c r="D46" s="45" t="n"/>
      <c r="E46" s="9" t="n"/>
      <c r="F46" s="40" t="n"/>
      <c r="G46" s="9" t="n"/>
      <c r="H46" s="9" t="n"/>
      <c r="I46" s="9" t="n"/>
      <c r="J46" s="9" t="n"/>
      <c r="K46" s="9" t="n"/>
      <c r="L46" s="35" t="n"/>
      <c r="M46" s="9" t="n"/>
      <c r="N46" s="9" t="n"/>
      <c r="O46" s="9" t="n"/>
      <c r="P46" s="45" t="n"/>
    </row>
    <row r="47" ht="28.8" customHeight="1" s="69">
      <c r="A47" s="9" t="n"/>
      <c r="B47" s="35" t="n"/>
      <c r="C47" s="45" t="n"/>
      <c r="D47" s="45" t="n"/>
      <c r="E47" s="9" t="n"/>
      <c r="F47" s="40" t="n"/>
      <c r="G47" s="9" t="n"/>
      <c r="H47" s="9" t="n"/>
      <c r="I47" s="9" t="n"/>
      <c r="J47" s="9" t="n"/>
      <c r="K47" s="9" t="n"/>
      <c r="L47" s="35" t="n"/>
      <c r="M47" s="9" t="n"/>
      <c r="N47" s="9" t="n"/>
      <c r="O47" s="9" t="n"/>
      <c r="P47" s="45" t="n"/>
    </row>
    <row r="48" ht="28.8" customHeight="1" s="69">
      <c r="A48" s="9" t="n"/>
      <c r="B48" s="35" t="n"/>
      <c r="C48" s="45" t="n"/>
      <c r="D48" s="45" t="n"/>
      <c r="E48" s="9" t="n"/>
      <c r="F48" s="40" t="n"/>
      <c r="G48" s="9" t="n"/>
      <c r="H48" s="9" t="n"/>
      <c r="I48" s="9" t="n"/>
      <c r="J48" s="9" t="n"/>
      <c r="K48" s="9" t="n"/>
      <c r="L48" s="35" t="n"/>
      <c r="M48" s="9" t="n"/>
      <c r="N48" s="9" t="n"/>
      <c r="O48" s="9" t="n"/>
      <c r="P48" s="45" t="n"/>
    </row>
    <row r="49" ht="28.8" customHeight="1" s="69">
      <c r="A49" s="9" t="n"/>
      <c r="B49" s="35" t="n"/>
      <c r="C49" s="45" t="n"/>
      <c r="D49" s="45" t="n"/>
      <c r="E49" s="9" t="n"/>
      <c r="F49" s="40" t="n"/>
      <c r="G49" s="9" t="n"/>
      <c r="H49" s="9" t="n"/>
      <c r="I49" s="9" t="n"/>
      <c r="J49" s="9" t="n"/>
      <c r="K49" s="9" t="n"/>
      <c r="L49" s="35" t="n"/>
      <c r="M49" s="9" t="n"/>
      <c r="N49" s="9" t="n"/>
      <c r="O49" s="9" t="n"/>
      <c r="P49" s="45" t="n"/>
    </row>
    <row r="50" ht="28.8" customHeight="1" s="69">
      <c r="A50" s="9" t="n"/>
      <c r="B50" s="35" t="n"/>
      <c r="C50" s="45" t="n"/>
      <c r="D50" s="45" t="n"/>
      <c r="E50" s="9" t="n"/>
      <c r="F50" s="40" t="n"/>
      <c r="G50" s="9" t="n"/>
      <c r="H50" s="9" t="n"/>
      <c r="I50" s="9" t="n"/>
      <c r="J50" s="9" t="n"/>
      <c r="K50" s="9" t="n"/>
      <c r="L50" s="35" t="n"/>
      <c r="M50" s="9" t="n"/>
      <c r="N50" s="9" t="n"/>
      <c r="O50" s="9" t="n"/>
      <c r="P50" s="45" t="n"/>
    </row>
    <row r="51" ht="28.8" customHeight="1" s="69">
      <c r="A51" s="9" t="n"/>
      <c r="B51" s="35" t="n"/>
      <c r="C51" s="45" t="n"/>
      <c r="D51" s="45" t="n"/>
      <c r="E51" s="9" t="n"/>
      <c r="F51" s="40" t="n"/>
      <c r="G51" s="9" t="n"/>
      <c r="H51" s="9" t="n"/>
      <c r="I51" s="9" t="n"/>
      <c r="J51" s="9" t="n"/>
      <c r="K51" s="9" t="n"/>
      <c r="L51" s="35" t="n"/>
      <c r="M51" s="9" t="n"/>
      <c r="N51" s="9" t="n"/>
      <c r="O51" s="9" t="n"/>
      <c r="P51" s="45" t="n"/>
    </row>
    <row r="52" ht="28.8" customHeight="1" s="69">
      <c r="A52" s="9" t="n"/>
      <c r="B52" s="35" t="n"/>
      <c r="C52" s="45" t="n"/>
      <c r="D52" s="45" t="n"/>
      <c r="E52" s="9" t="n"/>
      <c r="F52" s="40" t="n"/>
      <c r="G52" s="9" t="n"/>
      <c r="H52" s="9" t="n"/>
      <c r="I52" s="9" t="n"/>
      <c r="J52" s="9" t="n"/>
      <c r="K52" s="9" t="n"/>
      <c r="L52" s="35" t="n"/>
      <c r="M52" s="9" t="n"/>
      <c r="N52" s="9" t="n"/>
      <c r="O52" s="9" t="n"/>
      <c r="P52" s="45" t="n"/>
    </row>
    <row r="53" ht="28.8" customHeight="1" s="69">
      <c r="A53" s="9" t="n"/>
      <c r="B53" s="35" t="n"/>
      <c r="C53" s="45" t="n"/>
      <c r="D53" s="45" t="n"/>
      <c r="E53" s="9" t="n"/>
      <c r="F53" s="40" t="n"/>
      <c r="G53" s="9" t="n"/>
      <c r="H53" s="9" t="n"/>
      <c r="I53" s="9" t="n"/>
      <c r="J53" s="9" t="n"/>
      <c r="K53" s="9" t="n"/>
      <c r="L53" s="35" t="n"/>
      <c r="M53" s="9" t="n"/>
      <c r="N53" s="9" t="n"/>
      <c r="O53" s="9" t="n"/>
      <c r="P53" s="45" t="n"/>
    </row>
    <row r="54" ht="28.8" customHeight="1" s="69">
      <c r="A54" s="9" t="n"/>
      <c r="B54" s="35" t="n"/>
      <c r="C54" s="45" t="n"/>
      <c r="D54" s="45" t="n"/>
      <c r="E54" s="9" t="n"/>
      <c r="F54" s="40" t="n"/>
      <c r="G54" s="9" t="n"/>
      <c r="H54" s="9" t="n"/>
      <c r="I54" s="9" t="n"/>
      <c r="J54" s="9" t="n"/>
      <c r="K54" s="9" t="n"/>
      <c r="L54" s="35" t="n"/>
      <c r="M54" s="9" t="n"/>
      <c r="N54" s="9" t="n"/>
      <c r="O54" s="9" t="n"/>
      <c r="P54" s="45" t="n"/>
    </row>
    <row r="55" ht="28.8" customHeight="1" s="69">
      <c r="A55" s="9" t="n"/>
      <c r="B55" s="35" t="n"/>
      <c r="C55" s="45" t="n"/>
      <c r="D55" s="45" t="n"/>
      <c r="E55" s="9" t="n"/>
      <c r="F55" s="40" t="n"/>
      <c r="G55" s="9" t="n"/>
      <c r="H55" s="9" t="n"/>
      <c r="I55" s="9" t="n"/>
      <c r="J55" s="9" t="n"/>
      <c r="K55" s="9" t="n"/>
      <c r="L55" s="35" t="n"/>
      <c r="M55" s="9" t="n"/>
      <c r="N55" s="9" t="n"/>
      <c r="O55" s="9" t="n"/>
      <c r="P55" s="45" t="n"/>
    </row>
    <row r="56" ht="28.8" customHeight="1" s="69">
      <c r="A56" s="9" t="n"/>
      <c r="B56" s="35" t="n"/>
      <c r="C56" s="45" t="n"/>
      <c r="D56" s="45" t="n"/>
      <c r="E56" s="9" t="n"/>
      <c r="F56" s="40" t="n"/>
      <c r="G56" s="9" t="n"/>
      <c r="H56" s="9" t="n"/>
      <c r="I56" s="9" t="n"/>
      <c r="J56" s="9" t="n"/>
      <c r="K56" s="9" t="n"/>
      <c r="L56" s="35" t="n"/>
      <c r="M56" s="9" t="n"/>
      <c r="N56" s="9" t="n"/>
      <c r="O56" s="9" t="n"/>
      <c r="P56" s="45" t="n"/>
    </row>
    <row r="57" ht="28.8" customHeight="1" s="69">
      <c r="A57" s="9" t="n"/>
      <c r="B57" s="35" t="n"/>
      <c r="C57" s="45" t="n"/>
      <c r="D57" s="45" t="n"/>
      <c r="E57" s="9" t="n"/>
      <c r="F57" s="40" t="n"/>
      <c r="G57" s="9" t="n"/>
      <c r="H57" s="9" t="n"/>
      <c r="I57" s="9" t="n"/>
      <c r="J57" s="9" t="n"/>
      <c r="K57" s="9" t="n"/>
      <c r="L57" s="35" t="n"/>
      <c r="M57" s="9" t="n"/>
      <c r="N57" s="9" t="n"/>
      <c r="O57" s="9" t="n"/>
      <c r="P57" s="45" t="n"/>
    </row>
    <row r="58" ht="28.8" customHeight="1" s="69">
      <c r="A58" s="9" t="n"/>
      <c r="B58" s="35" t="n"/>
      <c r="C58" s="45" t="n"/>
      <c r="D58" s="45" t="n"/>
      <c r="E58" s="9" t="n"/>
      <c r="F58" s="40" t="n"/>
      <c r="G58" s="9" t="n"/>
      <c r="H58" s="9" t="n"/>
      <c r="I58" s="9" t="n"/>
      <c r="J58" s="9" t="n"/>
      <c r="K58" s="9" t="n"/>
      <c r="L58" s="35" t="n"/>
      <c r="M58" s="9" t="n"/>
      <c r="N58" s="9" t="n"/>
      <c r="O58" s="9" t="n"/>
      <c r="P58" s="45" t="n"/>
    </row>
    <row r="59" ht="28.8" customHeight="1" s="69">
      <c r="A59" s="9" t="n"/>
      <c r="B59" s="35" t="n"/>
      <c r="C59" s="45" t="n"/>
      <c r="D59" s="45" t="n"/>
      <c r="E59" s="9" t="n"/>
      <c r="F59" s="40" t="n"/>
      <c r="G59" s="9" t="n"/>
      <c r="H59" s="9" t="n"/>
      <c r="I59" s="9" t="n"/>
      <c r="J59" s="9" t="n"/>
      <c r="K59" s="9" t="n"/>
      <c r="L59" s="35" t="n"/>
      <c r="M59" s="9" t="n"/>
      <c r="N59" s="9" t="n"/>
      <c r="O59" s="9" t="n"/>
      <c r="P59" s="45" t="n"/>
    </row>
    <row r="60" ht="28.8" customHeight="1" s="69">
      <c r="A60" s="9" t="n"/>
      <c r="B60" s="35" t="n"/>
      <c r="C60" s="45" t="n"/>
      <c r="D60" s="45" t="n"/>
      <c r="E60" s="9" t="n"/>
      <c r="F60" s="40" t="n"/>
      <c r="G60" s="9" t="n"/>
      <c r="H60" s="9" t="n"/>
      <c r="I60" s="9" t="n"/>
      <c r="J60" s="9" t="n"/>
      <c r="K60" s="9" t="n"/>
      <c r="L60" s="35" t="n"/>
      <c r="M60" s="9" t="n"/>
      <c r="N60" s="9" t="n"/>
      <c r="O60" s="9" t="n"/>
      <c r="P60" s="45" t="n"/>
    </row>
    <row r="61" ht="28.8" customHeight="1" s="69">
      <c r="A61" s="9" t="n"/>
      <c r="B61" s="35" t="n"/>
      <c r="C61" s="45" t="n"/>
      <c r="D61" s="45" t="n"/>
      <c r="E61" s="9" t="n"/>
      <c r="F61" s="40" t="n"/>
      <c r="G61" s="9" t="n"/>
      <c r="H61" s="9" t="n"/>
      <c r="I61" s="9" t="n"/>
      <c r="J61" s="9" t="n"/>
      <c r="K61" s="9" t="n"/>
      <c r="L61" s="35" t="n"/>
      <c r="M61" s="9" t="n"/>
      <c r="N61" s="9" t="n"/>
      <c r="O61" s="9" t="n"/>
      <c r="P61" s="45" t="n"/>
    </row>
    <row r="62" ht="28.8" customHeight="1" s="69">
      <c r="A62" s="9" t="n"/>
      <c r="B62" s="35" t="n"/>
      <c r="C62" s="45" t="n"/>
      <c r="D62" s="45" t="n"/>
      <c r="E62" s="9" t="n"/>
      <c r="F62" s="40" t="n"/>
      <c r="G62" s="9" t="n"/>
      <c r="H62" s="9" t="n"/>
      <c r="I62" s="9" t="n"/>
      <c r="J62" s="9" t="n"/>
      <c r="K62" s="9" t="n"/>
      <c r="L62" s="35" t="n"/>
      <c r="M62" s="9" t="n"/>
      <c r="N62" s="9" t="n"/>
      <c r="O62" s="9" t="n"/>
      <c r="P62" s="45" t="n"/>
    </row>
    <row r="63" ht="28.8" customHeight="1" s="69">
      <c r="A63" s="9" t="n"/>
      <c r="B63" s="35" t="n"/>
      <c r="C63" s="45" t="n"/>
      <c r="D63" s="45" t="n"/>
      <c r="E63" s="9" t="n"/>
      <c r="F63" s="40" t="n"/>
      <c r="G63" s="9" t="n"/>
      <c r="H63" s="9" t="n"/>
      <c r="I63" s="9" t="n"/>
      <c r="J63" s="9" t="n"/>
      <c r="K63" s="9" t="n"/>
      <c r="L63" s="35" t="n"/>
      <c r="M63" s="9" t="n"/>
      <c r="N63" s="9" t="n"/>
      <c r="O63" s="9" t="n"/>
      <c r="P63" s="45" t="n"/>
    </row>
    <row r="64" ht="28.8" customHeight="1" s="69">
      <c r="A64" s="9" t="n"/>
      <c r="B64" s="35" t="n"/>
      <c r="C64" s="45" t="n"/>
      <c r="D64" s="45" t="n"/>
      <c r="E64" s="9" t="n"/>
      <c r="F64" s="40" t="n"/>
      <c r="G64" s="9" t="n"/>
      <c r="H64" s="9" t="n"/>
      <c r="I64" s="9" t="n"/>
      <c r="J64" s="9" t="n"/>
      <c r="K64" s="9" t="n"/>
      <c r="L64" s="35" t="n"/>
      <c r="M64" s="9" t="n"/>
      <c r="N64" s="9" t="n"/>
      <c r="O64" s="9" t="n"/>
      <c r="P64" s="45" t="n"/>
    </row>
    <row r="65" ht="28.8" customHeight="1" s="69">
      <c r="A65" s="9" t="n"/>
      <c r="B65" s="35" t="n"/>
      <c r="C65" s="45" t="n"/>
      <c r="D65" s="45" t="n"/>
      <c r="E65" s="9" t="n"/>
      <c r="F65" s="40" t="n"/>
      <c r="G65" s="9" t="n"/>
      <c r="H65" s="9" t="n"/>
      <c r="I65" s="9" t="n"/>
      <c r="J65" s="9" t="n"/>
      <c r="K65" s="9" t="n"/>
      <c r="L65" s="35" t="n"/>
      <c r="M65" s="9" t="n"/>
      <c r="N65" s="9" t="n"/>
      <c r="O65" s="9" t="n"/>
      <c r="P65" s="45" t="n"/>
    </row>
    <row r="66" ht="28.8" customHeight="1" s="69">
      <c r="A66" s="9" t="n"/>
      <c r="B66" s="35" t="n"/>
      <c r="C66" s="45" t="n"/>
      <c r="D66" s="45" t="n"/>
      <c r="E66" s="9" t="n"/>
      <c r="F66" s="40" t="n"/>
      <c r="G66" s="9" t="n"/>
      <c r="H66" s="9" t="n"/>
      <c r="I66" s="9" t="n"/>
      <c r="J66" s="9" t="n"/>
      <c r="K66" s="9" t="n"/>
      <c r="L66" s="35" t="n"/>
      <c r="M66" s="9" t="n"/>
      <c r="N66" s="9" t="n"/>
      <c r="O66" s="9" t="n"/>
      <c r="P66" s="45" t="n"/>
    </row>
    <row r="67" ht="28.8" customHeight="1" s="69">
      <c r="A67" s="9" t="n"/>
      <c r="B67" s="35" t="n"/>
      <c r="C67" s="45" t="n"/>
      <c r="D67" s="45" t="n"/>
      <c r="E67" s="9" t="n"/>
      <c r="F67" s="40" t="n"/>
      <c r="G67" s="9" t="n"/>
      <c r="H67" s="9" t="n"/>
      <c r="I67" s="9" t="n"/>
      <c r="J67" s="9" t="n"/>
      <c r="K67" s="9" t="n"/>
      <c r="L67" s="35" t="n"/>
      <c r="M67" s="9" t="n"/>
      <c r="N67" s="9" t="n"/>
      <c r="O67" s="9" t="n"/>
      <c r="P67" s="45" t="n"/>
    </row>
    <row r="68" ht="28.8" customHeight="1" s="69">
      <c r="A68" s="9" t="n"/>
      <c r="B68" s="35" t="n"/>
      <c r="C68" s="45" t="n"/>
      <c r="D68" s="45" t="n"/>
      <c r="E68" s="9" t="n"/>
      <c r="F68" s="40" t="n"/>
      <c r="G68" s="9" t="n"/>
      <c r="H68" s="9" t="n"/>
      <c r="I68" s="9" t="n"/>
      <c r="J68" s="9" t="n"/>
      <c r="K68" s="9" t="n"/>
      <c r="L68" s="35" t="n"/>
      <c r="M68" s="9" t="n"/>
      <c r="N68" s="9" t="n"/>
      <c r="O68" s="9" t="n"/>
      <c r="P68" s="45" t="n"/>
    </row>
    <row r="69" ht="28.8" customHeight="1" s="69">
      <c r="A69" s="9" t="n"/>
      <c r="B69" s="35" t="n"/>
      <c r="C69" s="45" t="n"/>
      <c r="D69" s="45" t="n"/>
      <c r="E69" s="9" t="n"/>
      <c r="F69" s="40" t="n"/>
      <c r="G69" s="9" t="n"/>
      <c r="H69" s="9" t="n"/>
      <c r="I69" s="9" t="n"/>
      <c r="J69" s="9" t="n"/>
      <c r="K69" s="9" t="n"/>
      <c r="L69" s="35" t="n"/>
      <c r="M69" s="9" t="n"/>
      <c r="N69" s="9" t="n"/>
      <c r="O69" s="9" t="n"/>
      <c r="P69" s="45" t="n"/>
    </row>
    <row r="70" ht="28.8" customHeight="1" s="69">
      <c r="A70" s="9" t="n"/>
      <c r="B70" s="35" t="n"/>
      <c r="C70" s="45" t="n"/>
      <c r="D70" s="45" t="n"/>
      <c r="E70" s="9" t="n"/>
      <c r="F70" s="40" t="n"/>
      <c r="G70" s="9" t="n"/>
      <c r="H70" s="9" t="n"/>
      <c r="I70" s="9" t="n"/>
      <c r="J70" s="9" t="n"/>
      <c r="K70" s="9" t="n"/>
      <c r="L70" s="35" t="n"/>
      <c r="M70" s="9" t="n"/>
      <c r="N70" s="9" t="n"/>
      <c r="O70" s="9" t="n"/>
      <c r="P70" s="45" t="n"/>
    </row>
    <row r="71" ht="28.8" customHeight="1" s="69">
      <c r="A71" s="9" t="n"/>
      <c r="B71" s="35" t="n"/>
      <c r="C71" s="45" t="n"/>
      <c r="D71" s="45" t="n"/>
      <c r="E71" s="9" t="n"/>
      <c r="F71" s="40" t="n"/>
      <c r="G71" s="9" t="n"/>
      <c r="H71" s="9" t="n"/>
      <c r="I71" s="9" t="n"/>
      <c r="J71" s="9" t="n"/>
      <c r="K71" s="9" t="n"/>
      <c r="L71" s="35" t="n"/>
      <c r="M71" s="9" t="n"/>
      <c r="N71" s="9" t="n"/>
      <c r="O71" s="9" t="n"/>
      <c r="P71" s="45" t="n"/>
    </row>
    <row r="72" ht="28.8" customHeight="1" s="69">
      <c r="A72" s="9" t="n"/>
      <c r="B72" s="35" t="n"/>
      <c r="C72" s="45" t="n"/>
      <c r="D72" s="45" t="n"/>
      <c r="E72" s="9" t="n"/>
      <c r="F72" s="40" t="n"/>
      <c r="G72" s="9" t="n"/>
      <c r="H72" s="9" t="n"/>
      <c r="I72" s="9" t="n"/>
      <c r="J72" s="9" t="n"/>
      <c r="K72" s="9" t="n"/>
      <c r="L72" s="35" t="n"/>
      <c r="M72" s="9" t="n"/>
      <c r="N72" s="9" t="n"/>
      <c r="O72" s="9" t="n"/>
      <c r="P72" s="45" t="n"/>
    </row>
    <row r="73" ht="28.8" customHeight="1" s="69">
      <c r="A73" s="9" t="n"/>
      <c r="B73" s="35" t="n"/>
      <c r="C73" s="45" t="n"/>
      <c r="D73" s="45" t="n"/>
      <c r="E73" s="9" t="n"/>
      <c r="F73" s="40" t="n"/>
      <c r="G73" s="9" t="n"/>
      <c r="H73" s="9" t="n"/>
      <c r="I73" s="9" t="n"/>
      <c r="J73" s="9" t="n"/>
      <c r="K73" s="9" t="n"/>
      <c r="L73" s="35" t="n"/>
      <c r="M73" s="9" t="n"/>
      <c r="N73" s="9" t="n"/>
      <c r="O73" s="9" t="n"/>
      <c r="P73" s="45" t="n"/>
    </row>
    <row r="74" ht="28.8" customHeight="1" s="69">
      <c r="A74" s="9" t="n"/>
      <c r="B74" s="35" t="n"/>
      <c r="C74" s="45" t="n"/>
      <c r="D74" s="45" t="n"/>
      <c r="E74" s="9" t="n"/>
      <c r="F74" s="40" t="n"/>
      <c r="G74" s="9" t="n"/>
      <c r="H74" s="9" t="n"/>
      <c r="I74" s="9" t="n"/>
      <c r="J74" s="9" t="n"/>
      <c r="K74" s="9" t="n"/>
      <c r="L74" s="35" t="n"/>
      <c r="M74" s="9" t="n"/>
      <c r="N74" s="9" t="n"/>
      <c r="O74" s="9" t="n"/>
      <c r="P74" s="45" t="n"/>
    </row>
    <row r="75" ht="28.8" customHeight="1" s="69">
      <c r="A75" s="9" t="n"/>
      <c r="B75" s="35" t="n"/>
      <c r="C75" s="45" t="n"/>
      <c r="D75" s="45" t="n"/>
      <c r="E75" s="9" t="n"/>
      <c r="F75" s="40" t="n"/>
      <c r="G75" s="9" t="n"/>
      <c r="H75" s="9" t="n"/>
      <c r="I75" s="9" t="n"/>
      <c r="J75" s="9" t="n"/>
      <c r="K75" s="9" t="n"/>
      <c r="L75" s="35" t="n"/>
      <c r="M75" s="9" t="n"/>
      <c r="N75" s="9" t="n"/>
      <c r="O75" s="9" t="n"/>
      <c r="P75" s="45" t="n"/>
    </row>
    <row r="76" ht="28.8" customHeight="1" s="69">
      <c r="A76" s="9" t="n"/>
      <c r="B76" s="35" t="n"/>
      <c r="C76" s="45" t="n"/>
      <c r="D76" s="45" t="n"/>
      <c r="E76" s="9" t="n"/>
      <c r="F76" s="40" t="n"/>
      <c r="G76" s="9" t="n"/>
      <c r="H76" s="9" t="n"/>
      <c r="I76" s="9" t="n"/>
      <c r="J76" s="9" t="n"/>
      <c r="K76" s="9" t="n"/>
      <c r="L76" s="35" t="n"/>
      <c r="M76" s="9" t="n"/>
      <c r="N76" s="9" t="n"/>
      <c r="O76" s="9" t="n"/>
      <c r="P76" s="45" t="n"/>
    </row>
    <row r="77" ht="28.8" customHeight="1" s="69">
      <c r="A77" s="9" t="n"/>
      <c r="B77" s="35" t="n"/>
      <c r="C77" s="45" t="n"/>
      <c r="D77" s="45" t="n"/>
      <c r="E77" s="9" t="n"/>
      <c r="F77" s="40" t="n"/>
      <c r="G77" s="9" t="n"/>
      <c r="H77" s="9" t="n"/>
      <c r="I77" s="9" t="n"/>
      <c r="J77" s="9" t="n"/>
      <c r="K77" s="9" t="n"/>
      <c r="L77" s="35" t="n"/>
      <c r="M77" s="9" t="n"/>
      <c r="N77" s="9" t="n"/>
      <c r="O77" s="9" t="n"/>
      <c r="P77" s="45" t="n"/>
    </row>
    <row r="78" ht="28.8" customHeight="1" s="69">
      <c r="A78" s="9" t="n"/>
      <c r="B78" s="35" t="n"/>
      <c r="C78" s="45" t="n"/>
      <c r="D78" s="45" t="n"/>
      <c r="E78" s="9" t="n"/>
      <c r="F78" s="40" t="n"/>
      <c r="G78" s="9" t="n"/>
      <c r="H78" s="9" t="n"/>
      <c r="I78" s="9" t="n"/>
      <c r="J78" s="9" t="n"/>
      <c r="K78" s="9" t="n"/>
      <c r="L78" s="35" t="n"/>
      <c r="M78" s="9" t="n"/>
      <c r="N78" s="9" t="n"/>
      <c r="O78" s="9" t="n"/>
      <c r="P78" s="45" t="n"/>
    </row>
    <row r="79" ht="28.8" customHeight="1" s="69">
      <c r="A79" s="9" t="n"/>
      <c r="B79" s="35" t="n"/>
      <c r="C79" s="45" t="n"/>
      <c r="D79" s="45" t="n"/>
      <c r="E79" s="9" t="n"/>
      <c r="F79" s="40" t="n"/>
      <c r="G79" s="9" t="n"/>
      <c r="H79" s="9" t="n"/>
      <c r="I79" s="9" t="n"/>
      <c r="J79" s="9" t="n"/>
      <c r="K79" s="9" t="n"/>
      <c r="L79" s="35" t="n"/>
      <c r="M79" s="9" t="n"/>
      <c r="N79" s="9" t="n"/>
      <c r="O79" s="9" t="n"/>
      <c r="P79" s="45" t="n"/>
    </row>
    <row r="80" ht="28.8" customHeight="1" s="69">
      <c r="A80" s="9" t="n"/>
      <c r="B80" s="35" t="n"/>
      <c r="C80" s="45" t="n"/>
      <c r="D80" s="45" t="n"/>
      <c r="E80" s="9" t="n"/>
      <c r="F80" s="40" t="n"/>
      <c r="G80" s="9" t="n"/>
      <c r="H80" s="9" t="n"/>
      <c r="I80" s="9" t="n"/>
      <c r="J80" s="9" t="n"/>
      <c r="K80" s="9" t="n"/>
      <c r="L80" s="35" t="n"/>
      <c r="M80" s="9" t="n"/>
      <c r="N80" s="9" t="n"/>
      <c r="O80" s="9" t="n"/>
      <c r="P80" s="45" t="n"/>
    </row>
    <row r="81" ht="28.8" customHeight="1" s="69">
      <c r="A81" s="9" t="n"/>
      <c r="B81" s="35" t="n"/>
      <c r="C81" s="45" t="n"/>
      <c r="D81" s="45" t="n"/>
      <c r="E81" s="9" t="n"/>
      <c r="F81" s="40" t="n"/>
      <c r="G81" s="9" t="n"/>
      <c r="H81" s="9" t="n"/>
      <c r="I81" s="9" t="n"/>
      <c r="J81" s="9" t="n"/>
      <c r="K81" s="9" t="n"/>
      <c r="L81" s="35" t="n"/>
      <c r="M81" s="9" t="n"/>
      <c r="N81" s="9" t="n"/>
      <c r="O81" s="9" t="n"/>
      <c r="P81" s="45" t="n"/>
    </row>
    <row r="82" ht="28.8" customHeight="1" s="69">
      <c r="A82" s="9" t="n"/>
      <c r="B82" s="35" t="n"/>
      <c r="C82" s="45" t="n"/>
      <c r="D82" s="45" t="n"/>
      <c r="E82" s="9" t="n"/>
      <c r="F82" s="40" t="n"/>
      <c r="G82" s="9" t="n"/>
      <c r="H82" s="9" t="n"/>
      <c r="I82" s="9" t="n"/>
      <c r="J82" s="9" t="n"/>
      <c r="K82" s="9" t="n"/>
      <c r="L82" s="35" t="n"/>
      <c r="M82" s="9" t="n"/>
      <c r="N82" s="9" t="n"/>
      <c r="O82" s="9" t="n"/>
      <c r="P82" s="45" t="n"/>
    </row>
    <row r="83" ht="28.8" customHeight="1" s="69">
      <c r="A83" s="9" t="n"/>
      <c r="B83" s="35" t="n"/>
      <c r="C83" s="45" t="n"/>
      <c r="D83" s="45" t="n"/>
      <c r="E83" s="9" t="n"/>
      <c r="F83" s="40" t="n"/>
      <c r="G83" s="9" t="n"/>
      <c r="H83" s="9" t="n"/>
      <c r="I83" s="9" t="n"/>
      <c r="J83" s="9" t="n"/>
      <c r="K83" s="9" t="n"/>
      <c r="L83" s="35" t="n"/>
      <c r="M83" s="9" t="n"/>
      <c r="N83" s="9" t="n"/>
      <c r="O83" s="9" t="n"/>
      <c r="P83" s="45" t="n"/>
    </row>
    <row r="84" ht="28.8" customHeight="1" s="69">
      <c r="A84" s="9" t="n"/>
      <c r="B84" s="35" t="n"/>
      <c r="C84" s="45" t="n"/>
      <c r="D84" s="45" t="n"/>
      <c r="E84" s="9" t="n"/>
      <c r="F84" s="40" t="n"/>
      <c r="G84" s="9" t="n"/>
      <c r="H84" s="9" t="n"/>
      <c r="I84" s="9" t="n"/>
      <c r="J84" s="9" t="n"/>
      <c r="K84" s="9" t="n"/>
      <c r="L84" s="35" t="n"/>
      <c r="M84" s="9" t="n"/>
      <c r="N84" s="9" t="n"/>
      <c r="O84" s="9" t="n"/>
      <c r="P84" s="45" t="n"/>
    </row>
    <row r="85" ht="28.8" customHeight="1" s="69">
      <c r="A85" s="9" t="n"/>
      <c r="B85" s="35" t="n"/>
      <c r="C85" s="45" t="n"/>
      <c r="D85" s="45" t="n"/>
      <c r="E85" s="9" t="n"/>
      <c r="F85" s="40" t="n"/>
      <c r="G85" s="9" t="n"/>
      <c r="H85" s="9" t="n"/>
      <c r="I85" s="9" t="n"/>
      <c r="J85" s="9" t="n"/>
      <c r="K85" s="9" t="n"/>
      <c r="L85" s="35" t="n"/>
      <c r="M85" s="9" t="n"/>
      <c r="N85" s="9" t="n"/>
      <c r="O85" s="9" t="n"/>
      <c r="P85" s="45" t="n"/>
    </row>
    <row r="86" ht="28.8" customHeight="1" s="69">
      <c r="A86" s="9" t="n"/>
      <c r="B86" s="35" t="n"/>
      <c r="C86" s="45" t="n"/>
      <c r="D86" s="45" t="n"/>
      <c r="E86" s="9" t="n"/>
      <c r="F86" s="40" t="n"/>
      <c r="G86" s="9" t="n"/>
      <c r="H86" s="9" t="n"/>
      <c r="I86" s="9" t="n"/>
      <c r="J86" s="9" t="n"/>
      <c r="K86" s="9" t="n"/>
      <c r="L86" s="35" t="n"/>
      <c r="M86" s="9" t="n"/>
      <c r="N86" s="9" t="n"/>
      <c r="O86" s="9" t="n"/>
      <c r="P86" s="45" t="n"/>
    </row>
    <row r="87" ht="28.8" customHeight="1" s="69">
      <c r="A87" s="9" t="n"/>
      <c r="B87" s="35" t="n"/>
      <c r="C87" s="45" t="n"/>
      <c r="D87" s="45" t="n"/>
      <c r="E87" s="9" t="n"/>
      <c r="F87" s="40" t="n"/>
      <c r="G87" s="9" t="n"/>
      <c r="H87" s="9" t="n"/>
      <c r="I87" s="9" t="n"/>
      <c r="J87" s="9" t="n"/>
      <c r="K87" s="9" t="n"/>
      <c r="L87" s="35" t="n"/>
      <c r="M87" s="9" t="n"/>
      <c r="N87" s="9" t="n"/>
      <c r="O87" s="9" t="n"/>
      <c r="P87" s="45" t="n"/>
    </row>
    <row r="88" ht="28.8" customHeight="1" s="69">
      <c r="A88" s="9" t="n"/>
      <c r="B88" s="35" t="n"/>
      <c r="C88" s="45" t="n"/>
      <c r="D88" s="45" t="n"/>
      <c r="E88" s="9" t="n"/>
      <c r="F88" s="40" t="n"/>
      <c r="G88" s="9" t="n"/>
      <c r="H88" s="9" t="n"/>
      <c r="I88" s="9" t="n"/>
      <c r="J88" s="9" t="n"/>
      <c r="K88" s="9" t="n"/>
      <c r="L88" s="35" t="n"/>
      <c r="M88" s="9" t="n"/>
      <c r="N88" s="9" t="n"/>
      <c r="O88" s="9" t="n"/>
      <c r="P88" s="45" t="n"/>
    </row>
    <row r="89" ht="28.8" customHeight="1" s="69">
      <c r="A89" s="9" t="n"/>
      <c r="B89" s="35" t="n"/>
      <c r="C89" s="45" t="n"/>
      <c r="D89" s="45" t="n"/>
      <c r="E89" s="9" t="n"/>
      <c r="F89" s="40" t="n"/>
      <c r="G89" s="9" t="n"/>
      <c r="H89" s="9" t="n"/>
      <c r="I89" s="9" t="n"/>
      <c r="J89" s="9" t="n"/>
      <c r="K89" s="9" t="n"/>
      <c r="L89" s="35" t="n"/>
      <c r="M89" s="9" t="n"/>
      <c r="N89" s="9" t="n"/>
      <c r="O89" s="9" t="n"/>
      <c r="P89" s="45" t="n"/>
    </row>
    <row r="90" ht="28.8" customHeight="1" s="69">
      <c r="A90" s="9" t="n"/>
      <c r="B90" s="35" t="n"/>
      <c r="C90" s="45" t="n"/>
      <c r="D90" s="45" t="n"/>
      <c r="E90" s="9" t="n"/>
      <c r="F90" s="40" t="n"/>
      <c r="G90" s="9" t="n"/>
      <c r="H90" s="9" t="n"/>
      <c r="I90" s="9" t="n"/>
      <c r="J90" s="9" t="n"/>
      <c r="K90" s="9" t="n"/>
      <c r="L90" s="35" t="n"/>
      <c r="M90" s="9" t="n"/>
      <c r="N90" s="9" t="n"/>
      <c r="O90" s="9" t="n"/>
      <c r="P90" s="45" t="n"/>
    </row>
    <row r="91" ht="28.8" customHeight="1" s="69">
      <c r="A91" s="9" t="n"/>
      <c r="B91" s="35" t="n"/>
      <c r="C91" s="45" t="n"/>
      <c r="D91" s="45" t="n"/>
      <c r="E91" s="9" t="n"/>
      <c r="F91" s="40" t="n"/>
      <c r="G91" s="9" t="n"/>
      <c r="H91" s="9" t="n"/>
      <c r="I91" s="9" t="n"/>
      <c r="J91" s="9" t="n"/>
      <c r="K91" s="9" t="n"/>
      <c r="L91" s="35" t="n"/>
      <c r="M91" s="9" t="n"/>
      <c r="N91" s="9" t="n"/>
      <c r="O91" s="9" t="n"/>
      <c r="P91" s="45" t="n"/>
    </row>
    <row r="92" ht="28.8" customHeight="1" s="69">
      <c r="A92" s="9" t="n"/>
      <c r="B92" s="35" t="n"/>
      <c r="C92" s="45" t="n"/>
      <c r="D92" s="45" t="n"/>
      <c r="E92" s="9" t="n"/>
      <c r="F92" s="40" t="n"/>
      <c r="G92" s="9" t="n"/>
      <c r="H92" s="9" t="n"/>
      <c r="I92" s="9" t="n"/>
      <c r="J92" s="9" t="n"/>
      <c r="K92" s="9" t="n"/>
      <c r="L92" s="35" t="n"/>
      <c r="M92" s="9" t="n"/>
      <c r="N92" s="9" t="n"/>
      <c r="O92" s="9" t="n"/>
      <c r="P92" s="45" t="n"/>
    </row>
    <row r="93" ht="28.8" customHeight="1" s="69">
      <c r="A93" s="9" t="n"/>
      <c r="B93" s="35" t="n"/>
      <c r="C93" s="45" t="n"/>
      <c r="D93" s="45" t="n"/>
      <c r="E93" s="9" t="n"/>
      <c r="F93" s="40" t="n"/>
      <c r="G93" s="9" t="n"/>
      <c r="H93" s="9" t="n"/>
      <c r="I93" s="9" t="n"/>
      <c r="J93" s="9" t="n"/>
      <c r="K93" s="9" t="n"/>
      <c r="L93" s="35" t="n"/>
      <c r="M93" s="9" t="n"/>
      <c r="N93" s="9" t="n"/>
      <c r="O93" s="9" t="n"/>
      <c r="P93" s="45" t="n"/>
    </row>
    <row r="94" ht="28.8" customHeight="1" s="69">
      <c r="A94" s="9" t="n"/>
      <c r="B94" s="35" t="n"/>
      <c r="C94" s="45" t="n"/>
      <c r="D94" s="45" t="n"/>
      <c r="E94" s="9" t="n"/>
      <c r="F94" s="40" t="n"/>
      <c r="G94" s="9" t="n"/>
      <c r="H94" s="9" t="n"/>
      <c r="I94" s="9" t="n"/>
      <c r="J94" s="9" t="n"/>
      <c r="K94" s="9" t="n"/>
      <c r="L94" s="35" t="n"/>
      <c r="M94" s="9" t="n"/>
      <c r="N94" s="9" t="n"/>
      <c r="O94" s="9" t="n"/>
      <c r="P94" s="45" t="n"/>
    </row>
    <row r="95" ht="28.8" customHeight="1" s="69">
      <c r="A95" s="9" t="n"/>
      <c r="B95" s="35" t="n"/>
      <c r="C95" s="45" t="n"/>
      <c r="D95" s="45" t="n"/>
      <c r="E95" s="9" t="n"/>
      <c r="F95" s="40" t="n"/>
      <c r="G95" s="9" t="n"/>
      <c r="H95" s="9" t="n"/>
      <c r="I95" s="9" t="n"/>
      <c r="J95" s="9" t="n"/>
      <c r="K95" s="9" t="n"/>
      <c r="L95" s="35" t="n"/>
      <c r="M95" s="9" t="n"/>
      <c r="N95" s="9" t="n"/>
      <c r="O95" s="9" t="n"/>
      <c r="P95" s="45" t="n"/>
    </row>
    <row r="96" ht="28.8" customHeight="1" s="69">
      <c r="A96" s="9" t="n"/>
      <c r="B96" s="35" t="n"/>
      <c r="C96" s="45" t="n"/>
      <c r="D96" s="45" t="n"/>
      <c r="E96" s="9" t="n"/>
      <c r="F96" s="40" t="n"/>
      <c r="G96" s="9" t="n"/>
      <c r="H96" s="9" t="n"/>
      <c r="I96" s="9" t="n"/>
      <c r="J96" s="9" t="n"/>
      <c r="K96" s="9" t="n"/>
      <c r="L96" s="35" t="n"/>
      <c r="M96" s="9" t="n"/>
      <c r="N96" s="9" t="n"/>
      <c r="O96" s="9" t="n"/>
      <c r="P96" s="45" t="n"/>
    </row>
    <row r="97" ht="28.8" customHeight="1" s="69">
      <c r="A97" s="9" t="n"/>
      <c r="B97" s="35" t="n"/>
      <c r="C97" s="45" t="n"/>
      <c r="D97" s="45" t="n"/>
      <c r="E97" s="9" t="n"/>
      <c r="F97" s="40" t="n"/>
      <c r="G97" s="9" t="n"/>
      <c r="H97" s="9" t="n"/>
      <c r="I97" s="9" t="n"/>
      <c r="J97" s="9" t="n"/>
      <c r="K97" s="9" t="n"/>
      <c r="L97" s="35" t="n"/>
      <c r="M97" s="9" t="n"/>
      <c r="N97" s="9" t="n"/>
      <c r="O97" s="9" t="n"/>
      <c r="P97" s="45" t="n"/>
    </row>
    <row r="98" ht="28.8" customHeight="1" s="69">
      <c r="A98" s="9" t="n"/>
      <c r="B98" s="35" t="n"/>
      <c r="C98" s="45" t="n"/>
      <c r="D98" s="45" t="n"/>
      <c r="E98" s="9" t="n"/>
      <c r="F98" s="40" t="n"/>
      <c r="G98" s="9" t="n"/>
      <c r="H98" s="9" t="n"/>
      <c r="I98" s="9" t="n"/>
      <c r="J98" s="9" t="n"/>
      <c r="K98" s="9" t="n"/>
      <c r="L98" s="35" t="n"/>
      <c r="M98" s="9" t="n"/>
      <c r="N98" s="9" t="n"/>
      <c r="O98" s="9" t="n"/>
      <c r="P98" s="45" t="n"/>
    </row>
    <row r="99" ht="28.8" customHeight="1" s="69">
      <c r="A99" s="9" t="n"/>
      <c r="B99" s="35" t="n"/>
      <c r="C99" s="45" t="n"/>
      <c r="D99" s="45" t="n"/>
      <c r="E99" s="9" t="n"/>
      <c r="F99" s="40" t="n"/>
      <c r="G99" s="9" t="n"/>
      <c r="H99" s="9" t="n"/>
      <c r="I99" s="9" t="n"/>
      <c r="J99" s="9" t="n"/>
      <c r="K99" s="9" t="n"/>
      <c r="L99" s="35" t="n"/>
      <c r="M99" s="9" t="n"/>
      <c r="N99" s="9" t="n"/>
      <c r="O99" s="9" t="n"/>
      <c r="P99" s="45" t="n"/>
    </row>
    <row r="100" ht="28.8" customHeight="1" s="69">
      <c r="A100" s="9" t="n"/>
      <c r="B100" s="35" t="n"/>
      <c r="C100" s="45" t="n"/>
      <c r="D100" s="45" t="n"/>
      <c r="E100" s="9" t="n"/>
      <c r="F100" s="40" t="n"/>
      <c r="G100" s="9" t="n"/>
      <c r="H100" s="9" t="n"/>
      <c r="I100" s="9" t="n"/>
      <c r="J100" s="9" t="n"/>
      <c r="K100" s="9" t="n"/>
      <c r="L100" s="35" t="n"/>
      <c r="M100" s="9" t="n"/>
      <c r="N100" s="9" t="n"/>
      <c r="O100" s="9" t="n"/>
      <c r="P100" s="45" t="n"/>
    </row>
    <row r="101">
      <c r="A101" s="9" t="n"/>
      <c r="B101" s="35" t="n"/>
      <c r="C101" s="45" t="n"/>
      <c r="D101" s="45" t="n"/>
      <c r="E101" s="9" t="n"/>
      <c r="F101" s="40" t="n"/>
      <c r="G101" s="9" t="n"/>
      <c r="H101" s="9" t="n"/>
      <c r="I101" s="9" t="n"/>
      <c r="J101" s="9" t="n"/>
      <c r="K101" s="9" t="n"/>
      <c r="L101" s="35" t="n"/>
      <c r="M101" s="9" t="n"/>
      <c r="N101" s="9" t="n"/>
      <c r="O101" s="9" t="n"/>
      <c r="P101" s="9" t="n"/>
    </row>
    <row r="102">
      <c r="A102" s="9" t="n"/>
      <c r="B102" s="35" t="n"/>
      <c r="C102" s="45" t="n"/>
      <c r="D102" s="45" t="n"/>
      <c r="E102" s="9" t="n"/>
      <c r="F102" s="40" t="n"/>
      <c r="G102" s="9" t="n"/>
      <c r="H102" s="9" t="n"/>
      <c r="I102" s="9" t="n"/>
      <c r="J102" s="9" t="n"/>
      <c r="K102" s="9" t="n"/>
      <c r="L102" s="35" t="n"/>
      <c r="M102" s="9" t="n"/>
      <c r="N102" s="9" t="n"/>
      <c r="O102" s="9" t="n"/>
      <c r="P102" s="9" t="n"/>
    </row>
    <row r="103">
      <c r="A103" s="9" t="n"/>
      <c r="B103" s="35" t="n"/>
      <c r="C103" s="45" t="n"/>
      <c r="D103" s="45" t="n"/>
      <c r="E103" s="9" t="n"/>
      <c r="F103" s="40" t="n"/>
      <c r="G103" s="9" t="n"/>
      <c r="H103" s="9" t="n"/>
      <c r="I103" s="9" t="n"/>
      <c r="J103" s="9" t="n"/>
      <c r="K103" s="9" t="n"/>
      <c r="L103" s="35" t="n"/>
      <c r="M103" s="9" t="n"/>
      <c r="N103" s="9" t="n"/>
      <c r="O103" s="9" t="n"/>
      <c r="P103" s="9" t="n"/>
    </row>
    <row r="104">
      <c r="A104" s="9" t="n"/>
      <c r="B104" s="35" t="n"/>
      <c r="C104" s="45" t="n"/>
      <c r="D104" s="45" t="n"/>
      <c r="E104" s="9" t="n"/>
      <c r="F104" s="40" t="n"/>
      <c r="G104" s="9" t="n"/>
      <c r="H104" s="9" t="n"/>
      <c r="I104" s="9" t="n"/>
      <c r="J104" s="9" t="n"/>
      <c r="K104" s="9" t="n"/>
      <c r="L104" s="35" t="n"/>
      <c r="M104" s="9" t="n"/>
      <c r="N104" s="9" t="n"/>
      <c r="O104" s="9" t="n"/>
      <c r="P104" s="9" t="n"/>
    </row>
    <row r="105">
      <c r="A105" s="9" t="n"/>
      <c r="B105" s="35" t="n"/>
      <c r="C105" s="45" t="n"/>
      <c r="D105" s="45" t="n"/>
      <c r="E105" s="9" t="n"/>
      <c r="F105" s="40" t="n"/>
      <c r="G105" s="9" t="n"/>
      <c r="H105" s="9" t="n"/>
      <c r="I105" s="9" t="n"/>
      <c r="J105" s="9" t="n"/>
      <c r="K105" s="9" t="n"/>
      <c r="L105" s="35" t="n"/>
      <c r="M105" s="9" t="n"/>
      <c r="N105" s="9" t="n"/>
      <c r="O105" s="9" t="n"/>
      <c r="P105" s="9" t="n"/>
    </row>
    <row r="106">
      <c r="A106" s="9" t="n"/>
      <c r="B106" s="35" t="n"/>
      <c r="C106" s="45" t="n"/>
      <c r="D106" s="45" t="n"/>
      <c r="E106" s="9" t="n"/>
      <c r="F106" s="40" t="n"/>
      <c r="G106" s="9" t="n"/>
      <c r="H106" s="9" t="n"/>
      <c r="I106" s="9" t="n"/>
      <c r="J106" s="9" t="n"/>
      <c r="K106" s="9" t="n"/>
      <c r="L106" s="35" t="n"/>
      <c r="M106" s="9" t="n"/>
      <c r="N106" s="9" t="n"/>
      <c r="O106" s="9" t="n"/>
      <c r="P106" s="9" t="n"/>
    </row>
    <row r="107">
      <c r="A107" s="9" t="n"/>
      <c r="B107" s="35" t="n"/>
      <c r="C107" s="45" t="n"/>
      <c r="D107" s="45" t="n"/>
      <c r="E107" s="9" t="n"/>
      <c r="F107" s="40" t="n"/>
      <c r="G107" s="9" t="n"/>
      <c r="H107" s="9" t="n"/>
      <c r="I107" s="9" t="n"/>
      <c r="J107" s="9" t="n"/>
      <c r="K107" s="9" t="n"/>
      <c r="L107" s="35" t="n"/>
      <c r="M107" s="9" t="n"/>
      <c r="N107" s="9" t="n"/>
      <c r="O107" s="9" t="n"/>
      <c r="P107" s="9" t="n"/>
    </row>
    <row r="108">
      <c r="A108" s="9" t="n"/>
      <c r="B108" s="35" t="n"/>
      <c r="C108" s="45" t="n"/>
      <c r="D108" s="45" t="n"/>
      <c r="E108" s="9" t="n"/>
      <c r="F108" s="40" t="n"/>
      <c r="G108" s="9" t="n"/>
      <c r="H108" s="9" t="n"/>
      <c r="I108" s="9" t="n"/>
      <c r="J108" s="9" t="n"/>
      <c r="K108" s="9" t="n"/>
      <c r="L108" s="35" t="n"/>
      <c r="M108" s="9" t="n"/>
      <c r="N108" s="9" t="n"/>
      <c r="O108" s="9" t="n"/>
      <c r="P108" s="9" t="n"/>
    </row>
    <row r="109">
      <c r="A109" s="9" t="n"/>
      <c r="B109" s="35" t="n"/>
      <c r="C109" s="45" t="n"/>
      <c r="D109" s="45" t="n"/>
      <c r="E109" s="9" t="n"/>
      <c r="F109" s="40" t="n"/>
      <c r="G109" s="9" t="n"/>
      <c r="H109" s="9" t="n"/>
      <c r="I109" s="9" t="n"/>
      <c r="J109" s="9" t="n"/>
      <c r="K109" s="9" t="n"/>
      <c r="L109" s="35" t="n"/>
      <c r="M109" s="9" t="n"/>
      <c r="N109" s="9" t="n"/>
      <c r="O109" s="9" t="n"/>
      <c r="P109" s="9" t="n"/>
    </row>
    <row r="110">
      <c r="A110" s="9" t="n"/>
      <c r="B110" s="35" t="n"/>
      <c r="C110" s="45" t="n"/>
      <c r="D110" s="45" t="n"/>
      <c r="E110" s="9" t="n"/>
      <c r="F110" s="40" t="n"/>
      <c r="G110" s="9" t="n"/>
      <c r="H110" s="9" t="n"/>
      <c r="I110" s="9" t="n"/>
      <c r="J110" s="9" t="n"/>
      <c r="K110" s="9" t="n"/>
      <c r="L110" s="35" t="n"/>
      <c r="M110" s="9" t="n"/>
      <c r="N110" s="9" t="n"/>
      <c r="O110" s="9" t="n"/>
      <c r="P110" s="9" t="n"/>
    </row>
    <row r="111">
      <c r="A111" s="9" t="n"/>
      <c r="B111" s="35" t="n"/>
      <c r="C111" s="45" t="n"/>
      <c r="D111" s="45" t="n"/>
      <c r="E111" s="9" t="n"/>
      <c r="F111" s="40" t="n"/>
      <c r="G111" s="9" t="n"/>
      <c r="H111" s="9" t="n"/>
      <c r="I111" s="9" t="n"/>
      <c r="J111" s="9" t="n"/>
      <c r="K111" s="9" t="n"/>
      <c r="L111" s="35" t="n"/>
      <c r="M111" s="9" t="n"/>
      <c r="N111" s="9" t="n"/>
      <c r="O111" s="9" t="n"/>
      <c r="P111" s="9" t="n"/>
    </row>
    <row r="112">
      <c r="A112" s="9" t="n"/>
      <c r="B112" s="35" t="n"/>
      <c r="C112" s="45" t="n"/>
      <c r="D112" s="45" t="n"/>
      <c r="E112" s="9" t="n"/>
      <c r="F112" s="40" t="n"/>
      <c r="G112" s="9" t="n"/>
      <c r="H112" s="9" t="n"/>
      <c r="I112" s="9" t="n"/>
      <c r="J112" s="9" t="n"/>
      <c r="K112" s="9" t="n"/>
      <c r="L112" s="35" t="n"/>
      <c r="M112" s="9" t="n"/>
      <c r="N112" s="9" t="n"/>
      <c r="O112" s="9" t="n"/>
      <c r="P112" s="9" t="n"/>
    </row>
    <row r="113">
      <c r="A113" s="9" t="n"/>
      <c r="B113" s="35" t="n"/>
      <c r="C113" s="45" t="n"/>
      <c r="D113" s="45" t="n"/>
      <c r="E113" s="9" t="n"/>
      <c r="F113" s="40" t="n"/>
      <c r="G113" s="9" t="n"/>
      <c r="H113" s="9" t="n"/>
      <c r="I113" s="9" t="n"/>
      <c r="J113" s="9" t="n"/>
      <c r="K113" s="9" t="n"/>
      <c r="L113" s="35" t="n"/>
      <c r="M113" s="9" t="n"/>
      <c r="N113" s="9" t="n"/>
      <c r="O113" s="9" t="n"/>
      <c r="P113" s="9" t="n"/>
    </row>
    <row r="114">
      <c r="A114" s="9" t="n"/>
      <c r="B114" s="35" t="n"/>
      <c r="C114" s="45" t="n"/>
      <c r="D114" s="45" t="n"/>
      <c r="E114" s="9" t="n"/>
      <c r="F114" s="40" t="n"/>
      <c r="G114" s="9" t="n"/>
      <c r="H114" s="9" t="n"/>
      <c r="I114" s="9" t="n"/>
      <c r="J114" s="9" t="n"/>
      <c r="K114" s="9" t="n"/>
      <c r="L114" s="35" t="n"/>
      <c r="M114" s="9" t="n"/>
      <c r="N114" s="9" t="n"/>
      <c r="O114" s="9" t="n"/>
      <c r="P114" s="9" t="n"/>
    </row>
    <row r="115">
      <c r="A115" s="9" t="n"/>
      <c r="B115" s="35" t="n"/>
      <c r="C115" s="45" t="n"/>
      <c r="D115" s="45" t="n"/>
      <c r="E115" s="9" t="n"/>
      <c r="F115" s="40" t="n"/>
      <c r="G115" s="9" t="n"/>
      <c r="H115" s="9" t="n"/>
      <c r="I115" s="9" t="n"/>
      <c r="J115" s="9" t="n"/>
      <c r="K115" s="9" t="n"/>
      <c r="L115" s="35" t="n"/>
      <c r="M115" s="9" t="n"/>
      <c r="N115" s="9" t="n"/>
      <c r="O115" s="9" t="n"/>
      <c r="P115" s="9" t="n"/>
    </row>
    <row r="116">
      <c r="A116" s="9" t="n"/>
      <c r="B116" s="35" t="n"/>
      <c r="C116" s="45" t="n"/>
      <c r="D116" s="45" t="n"/>
      <c r="E116" s="9" t="n"/>
      <c r="F116" s="40" t="n"/>
      <c r="G116" s="9" t="n"/>
      <c r="H116" s="9" t="n"/>
      <c r="I116" s="9" t="n"/>
      <c r="J116" s="9" t="n"/>
      <c r="K116" s="9" t="n"/>
      <c r="L116" s="35" t="n"/>
      <c r="M116" s="9" t="n"/>
      <c r="N116" s="9" t="n"/>
      <c r="O116" s="9" t="n"/>
      <c r="P116" s="9" t="n"/>
    </row>
    <row r="117">
      <c r="A117" s="9" t="n"/>
      <c r="B117" s="35" t="n"/>
      <c r="C117" s="45" t="n"/>
      <c r="D117" s="45" t="n"/>
      <c r="E117" s="9" t="n"/>
      <c r="F117" s="40" t="n"/>
      <c r="G117" s="9" t="n"/>
      <c r="H117" s="9" t="n"/>
      <c r="I117" s="9" t="n"/>
      <c r="J117" s="9" t="n"/>
      <c r="K117" s="9" t="n"/>
      <c r="L117" s="35" t="n"/>
      <c r="M117" s="9" t="n"/>
      <c r="N117" s="9" t="n"/>
      <c r="O117" s="9" t="n"/>
      <c r="P117" s="9" t="n"/>
    </row>
    <row r="118">
      <c r="A118" s="9" t="n"/>
      <c r="B118" s="35" t="n"/>
      <c r="C118" s="45" t="n"/>
      <c r="D118" s="45" t="n"/>
      <c r="E118" s="9" t="n"/>
      <c r="F118" s="40" t="n"/>
      <c r="G118" s="9" t="n"/>
      <c r="H118" s="9" t="n"/>
      <c r="I118" s="9" t="n"/>
      <c r="J118" s="9" t="n"/>
      <c r="K118" s="9" t="n"/>
      <c r="L118" s="35" t="n"/>
      <c r="M118" s="9" t="n"/>
      <c r="N118" s="9" t="n"/>
      <c r="O118" s="9" t="n"/>
      <c r="P118" s="9" t="n"/>
    </row>
    <row r="119">
      <c r="A119" s="9" t="n"/>
      <c r="B119" s="35" t="n"/>
      <c r="C119" s="45" t="n"/>
      <c r="D119" s="45" t="n"/>
      <c r="E119" s="9" t="n"/>
      <c r="F119" s="40" t="n"/>
      <c r="G119" s="9" t="n"/>
      <c r="H119" s="9" t="n"/>
      <c r="I119" s="9" t="n"/>
      <c r="J119" s="9" t="n"/>
      <c r="K119" s="9" t="n"/>
      <c r="L119" s="35" t="n"/>
      <c r="M119" s="9" t="n"/>
      <c r="N119" s="9" t="n"/>
      <c r="O119" s="9" t="n"/>
      <c r="P119" s="9" t="n"/>
    </row>
    <row r="120">
      <c r="A120" s="9" t="n"/>
      <c r="B120" s="35" t="n"/>
      <c r="C120" s="45" t="n"/>
      <c r="D120" s="45" t="n"/>
      <c r="E120" s="9" t="n"/>
      <c r="F120" s="40" t="n"/>
      <c r="G120" s="9" t="n"/>
      <c r="H120" s="9" t="n"/>
      <c r="I120" s="9" t="n"/>
      <c r="J120" s="9" t="n"/>
      <c r="K120" s="9" t="n"/>
      <c r="L120" s="35" t="n"/>
      <c r="M120" s="9" t="n"/>
      <c r="N120" s="9" t="n"/>
      <c r="O120" s="9" t="n"/>
      <c r="P120" s="9" t="n"/>
    </row>
    <row r="121">
      <c r="A121" s="9" t="n"/>
      <c r="B121" s="35" t="n"/>
      <c r="C121" s="45" t="n"/>
      <c r="D121" s="45" t="n"/>
      <c r="E121" s="9" t="n"/>
      <c r="F121" s="40" t="n"/>
      <c r="G121" s="9" t="n"/>
      <c r="H121" s="9" t="n"/>
      <c r="I121" s="9" t="n"/>
      <c r="J121" s="9" t="n"/>
      <c r="K121" s="9" t="n"/>
      <c r="L121" s="35" t="n"/>
      <c r="M121" s="9" t="n"/>
      <c r="N121" s="9" t="n"/>
      <c r="O121" s="9" t="n"/>
      <c r="P121" s="9" t="n"/>
    </row>
    <row r="122">
      <c r="A122" s="9" t="n"/>
      <c r="B122" s="35" t="n"/>
      <c r="C122" s="45" t="n"/>
      <c r="D122" s="45" t="n"/>
      <c r="E122" s="9" t="n"/>
      <c r="F122" s="40" t="n"/>
      <c r="G122" s="9" t="n"/>
      <c r="H122" s="9" t="n"/>
      <c r="I122" s="9" t="n"/>
      <c r="J122" s="9" t="n"/>
      <c r="K122" s="9" t="n"/>
      <c r="L122" s="35" t="n"/>
      <c r="M122" s="9" t="n"/>
      <c r="N122" s="9" t="n"/>
      <c r="O122" s="9" t="n"/>
      <c r="P122" s="9" t="n"/>
    </row>
    <row r="123">
      <c r="A123" s="9" t="n"/>
      <c r="B123" s="35" t="n"/>
      <c r="C123" s="45" t="n"/>
      <c r="D123" s="45" t="n"/>
      <c r="E123" s="9" t="n"/>
      <c r="F123" s="40" t="n"/>
      <c r="G123" s="9" t="n"/>
      <c r="H123" s="9" t="n"/>
      <c r="I123" s="9" t="n"/>
      <c r="J123" s="9" t="n"/>
      <c r="K123" s="9" t="n"/>
      <c r="L123" s="35" t="n"/>
      <c r="M123" s="9" t="n"/>
      <c r="N123" s="9" t="n"/>
      <c r="O123" s="9" t="n"/>
      <c r="P123" s="9" t="n"/>
    </row>
    <row r="124">
      <c r="A124" s="9" t="n"/>
      <c r="B124" s="35" t="n"/>
      <c r="C124" s="45" t="n"/>
      <c r="D124" s="45" t="n"/>
      <c r="E124" s="9" t="n"/>
      <c r="F124" s="40" t="n"/>
      <c r="G124" s="9" t="n"/>
      <c r="H124" s="9" t="n"/>
      <c r="I124" s="9" t="n"/>
      <c r="J124" s="9" t="n"/>
      <c r="K124" s="9" t="n"/>
      <c r="L124" s="35" t="n"/>
      <c r="M124" s="9" t="n"/>
      <c r="N124" s="9" t="n"/>
      <c r="O124" s="9" t="n"/>
      <c r="P124" s="9" t="n"/>
    </row>
    <row r="125">
      <c r="A125" s="9" t="n"/>
      <c r="B125" s="35" t="n"/>
      <c r="C125" s="45" t="n"/>
      <c r="D125" s="45" t="n"/>
      <c r="E125" s="9" t="n"/>
      <c r="F125" s="40" t="n"/>
      <c r="G125" s="9" t="n"/>
      <c r="H125" s="9" t="n"/>
      <c r="I125" s="9" t="n"/>
      <c r="J125" s="9" t="n"/>
      <c r="K125" s="9" t="n"/>
      <c r="L125" s="35" t="n"/>
      <c r="M125" s="9" t="n"/>
      <c r="N125" s="9" t="n"/>
      <c r="O125" s="9" t="n"/>
      <c r="P125" s="9" t="n"/>
    </row>
    <row r="126">
      <c r="A126" s="9" t="n"/>
      <c r="B126" s="35" t="n"/>
      <c r="C126" s="45" t="n"/>
      <c r="D126" s="45" t="n"/>
      <c r="E126" s="9" t="n"/>
      <c r="F126" s="40" t="n"/>
      <c r="G126" s="9" t="n"/>
      <c r="H126" s="9" t="n"/>
      <c r="I126" s="9" t="n"/>
      <c r="J126" s="9" t="n"/>
      <c r="K126" s="9" t="n"/>
      <c r="L126" s="35" t="n"/>
      <c r="M126" s="9" t="n"/>
      <c r="N126" s="9" t="n"/>
      <c r="O126" s="9" t="n"/>
      <c r="P126" s="9" t="n"/>
    </row>
    <row r="127">
      <c r="A127" s="9" t="n"/>
      <c r="B127" s="35" t="n"/>
      <c r="C127" s="45" t="n"/>
      <c r="D127" s="45" t="n"/>
      <c r="E127" s="9" t="n"/>
      <c r="F127" s="40" t="n"/>
      <c r="G127" s="9" t="n"/>
      <c r="H127" s="9" t="n"/>
      <c r="I127" s="9" t="n"/>
      <c r="J127" s="9" t="n"/>
      <c r="K127" s="9" t="n"/>
      <c r="L127" s="35" t="n"/>
      <c r="M127" s="9" t="n"/>
      <c r="N127" s="9" t="n"/>
      <c r="O127" s="9" t="n"/>
      <c r="P127" s="9" t="n"/>
    </row>
    <row r="128">
      <c r="A128" s="9" t="n"/>
      <c r="B128" s="35" t="n"/>
      <c r="C128" s="45" t="n"/>
      <c r="D128" s="45" t="n"/>
      <c r="E128" s="9" t="n"/>
      <c r="F128" s="40" t="n"/>
      <c r="G128" s="9" t="n"/>
      <c r="H128" s="9" t="n"/>
      <c r="I128" s="9" t="n"/>
      <c r="J128" s="9" t="n"/>
      <c r="K128" s="9" t="n"/>
      <c r="L128" s="35" t="n"/>
      <c r="M128" s="9" t="n"/>
      <c r="N128" s="9" t="n"/>
      <c r="O128" s="9" t="n"/>
      <c r="P128" s="9" t="n"/>
    </row>
    <row r="129">
      <c r="A129" s="9" t="n"/>
      <c r="B129" s="35" t="n"/>
      <c r="C129" s="45" t="n"/>
      <c r="D129" s="45" t="n"/>
      <c r="E129" s="9" t="n"/>
      <c r="F129" s="40" t="n"/>
      <c r="G129" s="9" t="n"/>
      <c r="H129" s="9" t="n"/>
      <c r="I129" s="9" t="n"/>
      <c r="J129" s="9" t="n"/>
      <c r="K129" s="9" t="n"/>
      <c r="L129" s="35" t="n"/>
      <c r="M129" s="9" t="n"/>
      <c r="N129" s="9" t="n"/>
      <c r="O129" s="9" t="n"/>
      <c r="P129" s="9" t="n"/>
    </row>
    <row r="130">
      <c r="A130" s="9" t="n"/>
      <c r="B130" s="35" t="n"/>
      <c r="C130" s="45" t="n"/>
      <c r="D130" s="45" t="n"/>
      <c r="E130" s="9" t="n"/>
      <c r="F130" s="40" t="n"/>
      <c r="G130" s="9" t="n"/>
      <c r="H130" s="9" t="n"/>
      <c r="I130" s="9" t="n"/>
      <c r="J130" s="9" t="n"/>
      <c r="K130" s="9" t="n"/>
      <c r="L130" s="35" t="n"/>
      <c r="M130" s="9" t="n"/>
      <c r="N130" s="9" t="n"/>
      <c r="O130" s="9" t="n"/>
      <c r="P130" s="9" t="n"/>
    </row>
    <row r="131">
      <c r="A131" s="9" t="n"/>
      <c r="B131" s="35" t="n"/>
      <c r="C131" s="45" t="n"/>
      <c r="D131" s="45" t="n"/>
      <c r="E131" s="9" t="n"/>
      <c r="F131" s="40" t="n"/>
      <c r="G131" s="9" t="n"/>
      <c r="H131" s="9" t="n"/>
      <c r="I131" s="9" t="n"/>
      <c r="J131" s="9" t="n"/>
      <c r="K131" s="9" t="n"/>
      <c r="L131" s="35" t="n"/>
      <c r="M131" s="9" t="n"/>
      <c r="N131" s="9" t="n"/>
      <c r="O131" s="9" t="n"/>
      <c r="P131" s="9" t="n"/>
    </row>
    <row r="132">
      <c r="A132" s="9" t="n"/>
      <c r="B132" s="35" t="n"/>
      <c r="C132" s="45" t="n"/>
      <c r="D132" s="45" t="n"/>
      <c r="E132" s="9" t="n"/>
      <c r="F132" s="40" t="n"/>
      <c r="G132" s="9" t="n"/>
      <c r="H132" s="9" t="n"/>
      <c r="I132" s="9" t="n"/>
      <c r="J132" s="9" t="n"/>
      <c r="K132" s="9" t="n"/>
      <c r="L132" s="35" t="n"/>
      <c r="M132" s="9" t="n"/>
      <c r="N132" s="9" t="n"/>
      <c r="O132" s="9" t="n"/>
      <c r="P132" s="9" t="n"/>
    </row>
    <row r="133">
      <c r="A133" s="9" t="n"/>
      <c r="B133" s="35" t="n"/>
      <c r="C133" s="45" t="n"/>
      <c r="D133" s="45" t="n"/>
      <c r="E133" s="9" t="n"/>
      <c r="F133" s="40" t="n"/>
      <c r="G133" s="9" t="n"/>
      <c r="H133" s="9" t="n"/>
      <c r="I133" s="9" t="n"/>
      <c r="J133" s="9" t="n"/>
      <c r="K133" s="9" t="n"/>
      <c r="L133" s="35" t="n"/>
      <c r="M133" s="9" t="n"/>
      <c r="N133" s="9" t="n"/>
      <c r="O133" s="9" t="n"/>
      <c r="P133" s="9" t="n"/>
    </row>
    <row r="134">
      <c r="A134" s="9" t="n"/>
      <c r="B134" s="35" t="n"/>
      <c r="C134" s="45" t="n"/>
      <c r="D134" s="45" t="n"/>
      <c r="E134" s="9" t="n"/>
      <c r="F134" s="40" t="n"/>
      <c r="G134" s="9" t="n"/>
      <c r="H134" s="9" t="n"/>
      <c r="I134" s="9" t="n"/>
      <c r="J134" s="9" t="n"/>
      <c r="K134" s="9" t="n"/>
      <c r="L134" s="35" t="n"/>
      <c r="M134" s="9" t="n"/>
      <c r="N134" s="9" t="n"/>
      <c r="O134" s="9" t="n"/>
      <c r="P134" s="9" t="n"/>
    </row>
    <row r="135">
      <c r="A135" s="9" t="n"/>
      <c r="B135" s="35" t="n"/>
      <c r="C135" s="45" t="n"/>
      <c r="D135" s="45" t="n"/>
      <c r="E135" s="9" t="n"/>
      <c r="F135" s="40" t="n"/>
      <c r="G135" s="9" t="n"/>
      <c r="H135" s="9" t="n"/>
      <c r="I135" s="9" t="n"/>
      <c r="J135" s="9" t="n"/>
      <c r="K135" s="9" t="n"/>
      <c r="L135" s="35" t="n"/>
      <c r="M135" s="9" t="n"/>
      <c r="N135" s="9" t="n"/>
      <c r="O135" s="9" t="n"/>
      <c r="P135" s="9" t="n"/>
    </row>
    <row r="136">
      <c r="A136" s="9" t="n"/>
      <c r="B136" s="35" t="n"/>
      <c r="C136" s="45" t="n"/>
      <c r="D136" s="45" t="n"/>
      <c r="E136" s="9" t="n"/>
      <c r="F136" s="40" t="n"/>
      <c r="G136" s="9" t="n"/>
      <c r="H136" s="9" t="n"/>
      <c r="I136" s="9" t="n"/>
      <c r="J136" s="9" t="n"/>
      <c r="K136" s="9" t="n"/>
      <c r="L136" s="35" t="n"/>
      <c r="M136" s="9" t="n"/>
      <c r="N136" s="9" t="n"/>
      <c r="O136" s="9" t="n"/>
      <c r="P136" s="9" t="n"/>
    </row>
    <row r="137">
      <c r="A137" s="9" t="n"/>
      <c r="B137" s="35" t="n"/>
      <c r="C137" s="45" t="n"/>
      <c r="D137" s="45" t="n"/>
      <c r="E137" s="9" t="n"/>
      <c r="F137" s="40" t="n"/>
      <c r="G137" s="9" t="n"/>
      <c r="H137" s="9" t="n"/>
      <c r="I137" s="9" t="n"/>
      <c r="J137" s="9" t="n"/>
      <c r="K137" s="9" t="n"/>
      <c r="L137" s="35" t="n"/>
      <c r="M137" s="9" t="n"/>
      <c r="N137" s="9" t="n"/>
      <c r="O137" s="9" t="n"/>
      <c r="P137" s="9" t="n"/>
    </row>
    <row r="138">
      <c r="A138" s="9" t="n"/>
      <c r="B138" s="35" t="n"/>
      <c r="C138" s="45" t="n"/>
      <c r="D138" s="45" t="n"/>
      <c r="E138" s="9" t="n"/>
      <c r="F138" s="40" t="n"/>
      <c r="G138" s="9" t="n"/>
      <c r="H138" s="9" t="n"/>
      <c r="I138" s="9" t="n"/>
      <c r="J138" s="9" t="n"/>
      <c r="K138" s="9" t="n"/>
      <c r="L138" s="35" t="n"/>
      <c r="M138" s="9" t="n"/>
      <c r="N138" s="9" t="n"/>
      <c r="O138" s="9" t="n"/>
      <c r="P138" s="9" t="n"/>
    </row>
    <row r="139">
      <c r="A139" s="9" t="n"/>
      <c r="B139" s="35" t="n"/>
      <c r="C139" s="45" t="n"/>
      <c r="D139" s="45" t="n"/>
      <c r="E139" s="9" t="n"/>
      <c r="F139" s="40" t="n"/>
      <c r="G139" s="9" t="n"/>
      <c r="H139" s="9" t="n"/>
      <c r="I139" s="9" t="n"/>
      <c r="J139" s="9" t="n"/>
      <c r="K139" s="9" t="n"/>
      <c r="L139" s="35" t="n"/>
      <c r="M139" s="9" t="n"/>
      <c r="N139" s="9" t="n"/>
      <c r="O139" s="9" t="n"/>
      <c r="P139" s="9" t="n"/>
    </row>
    <row r="140">
      <c r="A140" s="9" t="n"/>
      <c r="B140" s="35" t="n"/>
      <c r="C140" s="45" t="n"/>
      <c r="D140" s="45" t="n"/>
      <c r="E140" s="9" t="n"/>
      <c r="F140" s="40" t="n"/>
      <c r="G140" s="9" t="n"/>
      <c r="H140" s="9" t="n"/>
      <c r="I140" s="9" t="n"/>
      <c r="J140" s="9" t="n"/>
      <c r="K140" s="9" t="n"/>
      <c r="L140" s="35" t="n"/>
      <c r="M140" s="9" t="n"/>
      <c r="N140" s="9" t="n"/>
      <c r="O140" s="9" t="n"/>
      <c r="P140" s="9" t="n"/>
    </row>
    <row r="141">
      <c r="A141" s="9" t="n"/>
      <c r="B141" s="35" t="n"/>
      <c r="C141" s="45" t="n"/>
      <c r="D141" s="45" t="n"/>
      <c r="E141" s="9" t="n"/>
      <c r="F141" s="40" t="n"/>
      <c r="G141" s="9" t="n"/>
      <c r="H141" s="9" t="n"/>
      <c r="I141" s="9" t="n"/>
      <c r="J141" s="9" t="n"/>
      <c r="K141" s="9" t="n"/>
      <c r="L141" s="35" t="n"/>
      <c r="M141" s="9" t="n"/>
      <c r="N141" s="9" t="n"/>
      <c r="O141" s="9" t="n"/>
      <c r="P141" s="9" t="n"/>
    </row>
    <row r="142">
      <c r="A142" s="9" t="n"/>
      <c r="B142" s="35" t="n"/>
      <c r="C142" s="45" t="n"/>
      <c r="D142" s="45" t="n"/>
      <c r="E142" s="9" t="n"/>
      <c r="F142" s="40" t="n"/>
      <c r="G142" s="9" t="n"/>
      <c r="H142" s="9" t="n"/>
      <c r="I142" s="9" t="n"/>
      <c r="J142" s="9" t="n"/>
      <c r="K142" s="9" t="n"/>
      <c r="L142" s="35" t="n"/>
      <c r="M142" s="9" t="n"/>
      <c r="N142" s="9" t="n"/>
      <c r="O142" s="9" t="n"/>
      <c r="P142" s="9" t="n"/>
    </row>
    <row r="143">
      <c r="A143" s="9" t="n"/>
      <c r="B143" s="35" t="n"/>
      <c r="C143" s="45" t="n"/>
      <c r="D143" s="45" t="n"/>
      <c r="E143" s="9" t="n"/>
      <c r="F143" s="40" t="n"/>
      <c r="G143" s="9" t="n"/>
      <c r="H143" s="9" t="n"/>
      <c r="I143" s="9" t="n"/>
      <c r="J143" s="9" t="n"/>
      <c r="K143" s="9" t="n"/>
      <c r="L143" s="35" t="n"/>
      <c r="M143" s="9" t="n"/>
      <c r="N143" s="9" t="n"/>
      <c r="O143" s="9" t="n"/>
      <c r="P143" s="9" t="n"/>
    </row>
    <row r="144">
      <c r="A144" s="9" t="n"/>
      <c r="B144" s="35" t="n"/>
      <c r="C144" s="45" t="n"/>
      <c r="D144" s="45" t="n"/>
      <c r="E144" s="9" t="n"/>
      <c r="F144" s="40" t="n"/>
      <c r="G144" s="9" t="n"/>
      <c r="H144" s="9" t="n"/>
      <c r="I144" s="9" t="n"/>
      <c r="J144" s="9" t="n"/>
      <c r="K144" s="9" t="n"/>
      <c r="L144" s="35" t="n"/>
      <c r="M144" s="9" t="n"/>
      <c r="N144" s="9" t="n"/>
      <c r="O144" s="9" t="n"/>
      <c r="P144" s="9" t="n"/>
    </row>
    <row r="145">
      <c r="A145" s="9" t="n"/>
      <c r="B145" s="35" t="n"/>
      <c r="C145" s="45" t="n"/>
      <c r="D145" s="45" t="n"/>
      <c r="E145" s="9" t="n"/>
      <c r="F145" s="40" t="n"/>
      <c r="G145" s="9" t="n"/>
      <c r="H145" s="9" t="n"/>
      <c r="I145" s="9" t="n"/>
      <c r="J145" s="9" t="n"/>
      <c r="K145" s="9" t="n"/>
      <c r="L145" s="35" t="n"/>
      <c r="M145" s="9" t="n"/>
      <c r="N145" s="9" t="n"/>
      <c r="O145" s="9" t="n"/>
      <c r="P145" s="9" t="n"/>
    </row>
    <row r="146">
      <c r="A146" s="9" t="n"/>
      <c r="B146" s="35" t="n"/>
      <c r="C146" s="45" t="n"/>
      <c r="D146" s="45" t="n"/>
      <c r="E146" s="9" t="n"/>
      <c r="F146" s="40" t="n"/>
      <c r="G146" s="9" t="n"/>
      <c r="H146" s="9" t="n"/>
      <c r="I146" s="9" t="n"/>
      <c r="J146" s="9" t="n"/>
      <c r="K146" s="9" t="n"/>
      <c r="L146" s="35" t="n"/>
      <c r="M146" s="9" t="n"/>
      <c r="N146" s="9" t="n"/>
      <c r="O146" s="9" t="n"/>
      <c r="P146" s="9" t="n"/>
    </row>
    <row r="147">
      <c r="A147" s="9" t="n"/>
      <c r="B147" s="35" t="n"/>
      <c r="C147" s="45" t="n"/>
      <c r="D147" s="45" t="n"/>
      <c r="E147" s="9" t="n"/>
      <c r="F147" s="40" t="n"/>
      <c r="G147" s="9" t="n"/>
      <c r="H147" s="9" t="n"/>
      <c r="I147" s="9" t="n"/>
      <c r="J147" s="9" t="n"/>
      <c r="K147" s="9" t="n"/>
      <c r="L147" s="35" t="n"/>
      <c r="M147" s="9" t="n"/>
      <c r="N147" s="9" t="n"/>
      <c r="O147" s="9" t="n"/>
      <c r="P147" s="9" t="n"/>
    </row>
    <row r="148">
      <c r="A148" s="9" t="n"/>
      <c r="B148" s="35" t="n"/>
      <c r="C148" s="45" t="n"/>
      <c r="D148" s="45" t="n"/>
      <c r="E148" s="9" t="n"/>
      <c r="F148" s="40" t="n"/>
      <c r="G148" s="9" t="n"/>
      <c r="H148" s="9" t="n"/>
      <c r="I148" s="9" t="n"/>
      <c r="J148" s="9" t="n"/>
      <c r="K148" s="9" t="n"/>
      <c r="L148" s="35" t="n"/>
      <c r="M148" s="9" t="n"/>
      <c r="N148" s="9" t="n"/>
      <c r="O148" s="9" t="n"/>
      <c r="P148" s="9" t="n"/>
    </row>
    <row r="149">
      <c r="A149" s="9" t="n"/>
      <c r="B149" s="35" t="n"/>
      <c r="C149" s="45" t="n"/>
      <c r="D149" s="45" t="n"/>
      <c r="E149" s="9" t="n"/>
      <c r="F149" s="40" t="n"/>
      <c r="G149" s="9" t="n"/>
      <c r="H149" s="9" t="n"/>
      <c r="I149" s="9" t="n"/>
      <c r="J149" s="9" t="n"/>
      <c r="K149" s="9" t="n"/>
      <c r="L149" s="35" t="n"/>
      <c r="M149" s="9" t="n"/>
      <c r="N149" s="9" t="n"/>
      <c r="O149" s="9" t="n"/>
      <c r="P149" s="9" t="n"/>
    </row>
    <row r="150">
      <c r="A150" s="9" t="n"/>
      <c r="B150" s="35" t="n"/>
      <c r="C150" s="45" t="n"/>
      <c r="D150" s="45" t="n"/>
      <c r="E150" s="9" t="n"/>
      <c r="F150" s="40" t="n"/>
      <c r="G150" s="9" t="n"/>
      <c r="H150" s="9" t="n"/>
      <c r="I150" s="9" t="n"/>
      <c r="J150" s="9" t="n"/>
      <c r="K150" s="9" t="n"/>
      <c r="L150" s="35" t="n"/>
      <c r="M150" s="9" t="n"/>
      <c r="N150" s="9" t="n"/>
      <c r="O150" s="9" t="n"/>
      <c r="P150" s="9" t="n"/>
    </row>
    <row r="151">
      <c r="A151" s="9" t="n"/>
      <c r="B151" s="35" t="n"/>
      <c r="C151" s="45" t="n"/>
      <c r="D151" s="45" t="n"/>
      <c r="E151" s="9" t="n"/>
      <c r="F151" s="40" t="n"/>
      <c r="G151" s="9" t="n"/>
      <c r="H151" s="9" t="n"/>
      <c r="I151" s="9" t="n"/>
      <c r="J151" s="9" t="n"/>
      <c r="K151" s="9" t="n"/>
      <c r="L151" s="35" t="n"/>
      <c r="M151" s="9" t="n"/>
      <c r="N151" s="9" t="n"/>
      <c r="O151" s="9" t="n"/>
      <c r="P151" s="9" t="n"/>
    </row>
    <row r="152">
      <c r="A152" s="9" t="n"/>
      <c r="B152" s="35" t="n"/>
      <c r="C152" s="45" t="n"/>
      <c r="D152" s="45" t="n"/>
      <c r="E152" s="9" t="n"/>
      <c r="F152" s="40" t="n"/>
      <c r="G152" s="9" t="n"/>
      <c r="H152" s="9" t="n"/>
      <c r="I152" s="9" t="n"/>
      <c r="J152" s="9" t="n"/>
      <c r="K152" s="9" t="n"/>
      <c r="L152" s="35" t="n"/>
      <c r="M152" s="9" t="n"/>
      <c r="N152" s="9" t="n"/>
      <c r="O152" s="9" t="n"/>
      <c r="P152" s="9" t="n"/>
    </row>
    <row r="153">
      <c r="A153" s="9" t="n"/>
      <c r="B153" s="35" t="n"/>
      <c r="C153" s="45" t="n"/>
      <c r="D153" s="45" t="n"/>
      <c r="E153" s="9" t="n"/>
      <c r="F153" s="40" t="n"/>
      <c r="G153" s="9" t="n"/>
      <c r="H153" s="9" t="n"/>
      <c r="I153" s="9" t="n"/>
      <c r="J153" s="9" t="n"/>
      <c r="K153" s="9" t="n"/>
      <c r="L153" s="35" t="n"/>
      <c r="M153" s="9" t="n"/>
      <c r="N153" s="9" t="n"/>
      <c r="O153" s="9" t="n"/>
      <c r="P153" s="9" t="n"/>
    </row>
    <row r="154">
      <c r="A154" s="9" t="n"/>
      <c r="B154" s="35" t="n"/>
      <c r="C154" s="45" t="n"/>
      <c r="D154" s="45" t="n"/>
      <c r="E154" s="9" t="n"/>
      <c r="F154" s="40" t="n"/>
      <c r="G154" s="9" t="n"/>
      <c r="H154" s="9" t="n"/>
      <c r="I154" s="9" t="n"/>
      <c r="J154" s="9" t="n"/>
      <c r="K154" s="9" t="n"/>
      <c r="L154" s="35" t="n"/>
      <c r="M154" s="9" t="n"/>
      <c r="N154" s="9" t="n"/>
      <c r="O154" s="9" t="n"/>
      <c r="P154" s="9" t="n"/>
    </row>
    <row r="155">
      <c r="A155" s="9" t="n"/>
      <c r="B155" s="35" t="n"/>
      <c r="C155" s="45" t="n"/>
      <c r="D155" s="45" t="n"/>
      <c r="E155" s="9" t="n"/>
      <c r="F155" s="40" t="n"/>
      <c r="G155" s="9" t="n"/>
      <c r="H155" s="9" t="n"/>
      <c r="I155" s="9" t="n"/>
      <c r="J155" s="9" t="n"/>
      <c r="K155" s="9" t="n"/>
      <c r="L155" s="35" t="n"/>
      <c r="M155" s="9" t="n"/>
      <c r="N155" s="9" t="n"/>
      <c r="O155" s="9" t="n"/>
      <c r="P155" s="9" t="n"/>
    </row>
    <row r="156">
      <c r="A156" s="9" t="n"/>
      <c r="B156" s="35" t="n"/>
      <c r="C156" s="45" t="n"/>
      <c r="D156" s="45" t="n"/>
      <c r="E156" s="9" t="n"/>
      <c r="F156" s="40" t="n"/>
      <c r="G156" s="9" t="n"/>
      <c r="H156" s="9" t="n"/>
      <c r="I156" s="9" t="n"/>
      <c r="J156" s="9" t="n"/>
      <c r="K156" s="9" t="n"/>
      <c r="L156" s="35" t="n"/>
      <c r="M156" s="9" t="n"/>
      <c r="N156" s="9" t="n"/>
      <c r="O156" s="9" t="n"/>
      <c r="P156" s="9" t="n"/>
    </row>
    <row r="157">
      <c r="A157" s="9" t="n"/>
      <c r="B157" s="35" t="n"/>
      <c r="C157" s="45" t="n"/>
      <c r="D157" s="45" t="n"/>
      <c r="E157" s="9" t="n"/>
      <c r="F157" s="40" t="n"/>
      <c r="G157" s="9" t="n"/>
      <c r="H157" s="9" t="n"/>
      <c r="I157" s="9" t="n"/>
      <c r="J157" s="9" t="n"/>
      <c r="K157" s="9" t="n"/>
      <c r="L157" s="35" t="n"/>
      <c r="M157" s="9" t="n"/>
      <c r="N157" s="9" t="n"/>
      <c r="O157" s="9" t="n"/>
      <c r="P157" s="9" t="n"/>
    </row>
    <row r="158">
      <c r="A158" s="9" t="n"/>
      <c r="B158" s="35" t="n"/>
      <c r="C158" s="45" t="n"/>
      <c r="D158" s="45" t="n"/>
      <c r="E158" s="9" t="n"/>
      <c r="F158" s="40" t="n"/>
      <c r="G158" s="9" t="n"/>
      <c r="H158" s="9" t="n"/>
      <c r="I158" s="9" t="n"/>
      <c r="J158" s="9" t="n"/>
      <c r="K158" s="9" t="n"/>
      <c r="L158" s="35" t="n"/>
      <c r="M158" s="9" t="n"/>
      <c r="N158" s="9" t="n"/>
      <c r="O158" s="9" t="n"/>
      <c r="P158" s="9" t="n"/>
    </row>
    <row r="159">
      <c r="A159" s="9" t="n"/>
      <c r="B159" s="35" t="n"/>
      <c r="C159" s="45" t="n"/>
      <c r="D159" s="45" t="n"/>
      <c r="E159" s="9" t="n"/>
      <c r="F159" s="40" t="n"/>
      <c r="G159" s="9" t="n"/>
      <c r="H159" s="9" t="n"/>
      <c r="I159" s="9" t="n"/>
      <c r="J159" s="9" t="n"/>
      <c r="K159" s="9" t="n"/>
      <c r="L159" s="35" t="n"/>
      <c r="M159" s="9" t="n"/>
      <c r="N159" s="9" t="n"/>
      <c r="O159" s="9" t="n"/>
      <c r="P159" s="9" t="n"/>
    </row>
    <row r="160">
      <c r="A160" s="9" t="n"/>
      <c r="B160" s="35" t="n"/>
      <c r="C160" s="45" t="n"/>
      <c r="D160" s="45" t="n"/>
      <c r="E160" s="9" t="n"/>
      <c r="F160" s="40" t="n"/>
      <c r="G160" s="9" t="n"/>
      <c r="H160" s="9" t="n"/>
      <c r="I160" s="9" t="n"/>
      <c r="J160" s="9" t="n"/>
      <c r="K160" s="9" t="n"/>
      <c r="L160" s="35" t="n"/>
      <c r="M160" s="9" t="n"/>
      <c r="N160" s="9" t="n"/>
      <c r="O160" s="9" t="n"/>
      <c r="P160" s="9" t="n"/>
    </row>
    <row r="161">
      <c r="A161" s="9" t="n"/>
      <c r="B161" s="35" t="n"/>
      <c r="C161" s="45" t="n"/>
      <c r="D161" s="45" t="n"/>
      <c r="E161" s="9" t="n"/>
      <c r="F161" s="40" t="n"/>
      <c r="G161" s="9" t="n"/>
      <c r="H161" s="9" t="n"/>
      <c r="I161" s="9" t="n"/>
      <c r="J161" s="9" t="n"/>
      <c r="K161" s="9" t="n"/>
      <c r="L161" s="35" t="n"/>
      <c r="M161" s="9" t="n"/>
      <c r="N161" s="9" t="n"/>
      <c r="O161" s="9" t="n"/>
      <c r="P161" s="9" t="n"/>
    </row>
    <row r="162">
      <c r="A162" s="9" t="n"/>
      <c r="B162" s="35" t="n"/>
      <c r="C162" s="45" t="n"/>
      <c r="D162" s="45" t="n"/>
      <c r="E162" s="9" t="n"/>
      <c r="F162" s="40" t="n"/>
      <c r="G162" s="9" t="n"/>
      <c r="H162" s="9" t="n"/>
      <c r="I162" s="9" t="n"/>
      <c r="J162" s="9" t="n"/>
      <c r="K162" s="9" t="n"/>
      <c r="L162" s="35" t="n"/>
      <c r="M162" s="9" t="n"/>
      <c r="N162" s="9" t="n"/>
      <c r="O162" s="9" t="n"/>
      <c r="P162" s="9" t="n"/>
    </row>
    <row r="163">
      <c r="A163" s="9" t="n"/>
      <c r="B163" s="35" t="n"/>
      <c r="C163" s="45" t="n"/>
      <c r="D163" s="45" t="n"/>
      <c r="E163" s="9" t="n"/>
      <c r="F163" s="40" t="n"/>
      <c r="G163" s="9" t="n"/>
      <c r="H163" s="9" t="n"/>
      <c r="I163" s="9" t="n"/>
      <c r="J163" s="9" t="n"/>
      <c r="K163" s="9" t="n"/>
      <c r="L163" s="35" t="n"/>
      <c r="M163" s="9" t="n"/>
      <c r="N163" s="9" t="n"/>
      <c r="O163" s="9" t="n"/>
      <c r="P163" s="9" t="n"/>
    </row>
    <row r="164">
      <c r="A164" s="9" t="n"/>
      <c r="B164" s="35" t="n"/>
      <c r="C164" s="45" t="n"/>
      <c r="D164" s="45" t="n"/>
      <c r="E164" s="9" t="n"/>
      <c r="F164" s="40" t="n"/>
      <c r="G164" s="9" t="n"/>
      <c r="H164" s="9" t="n"/>
      <c r="I164" s="9" t="n"/>
      <c r="J164" s="9" t="n"/>
      <c r="K164" s="9" t="n"/>
      <c r="L164" s="35" t="n"/>
      <c r="M164" s="9" t="n"/>
      <c r="N164" s="9" t="n"/>
      <c r="O164" s="9" t="n"/>
      <c r="P164" s="9" t="n"/>
    </row>
    <row r="165">
      <c r="A165" s="9" t="n"/>
      <c r="B165" s="35" t="n"/>
      <c r="C165" s="45" t="n"/>
      <c r="D165" s="45" t="n"/>
      <c r="E165" s="9" t="n"/>
      <c r="F165" s="40" t="n"/>
      <c r="G165" s="9" t="n"/>
      <c r="H165" s="9" t="n"/>
      <c r="I165" s="9" t="n"/>
      <c r="J165" s="9" t="n"/>
      <c r="K165" s="9" t="n"/>
      <c r="L165" s="35" t="n"/>
      <c r="M165" s="9" t="n"/>
      <c r="N165" s="9" t="n"/>
      <c r="O165" s="9" t="n"/>
      <c r="P165" s="9" t="n"/>
    </row>
    <row r="166">
      <c r="A166" s="9" t="n"/>
      <c r="B166" s="35" t="n"/>
      <c r="C166" s="45" t="n"/>
      <c r="D166" s="45" t="n"/>
      <c r="E166" s="9" t="n"/>
      <c r="F166" s="40" t="n"/>
      <c r="G166" s="9" t="n"/>
      <c r="H166" s="9" t="n"/>
      <c r="I166" s="9" t="n"/>
      <c r="J166" s="9" t="n"/>
      <c r="K166" s="9" t="n"/>
      <c r="L166" s="35" t="n"/>
      <c r="M166" s="9" t="n"/>
      <c r="N166" s="9" t="n"/>
      <c r="O166" s="9" t="n"/>
      <c r="P166" s="9" t="n"/>
    </row>
    <row r="167">
      <c r="A167" s="9" t="n"/>
      <c r="B167" s="35" t="n"/>
      <c r="C167" s="45" t="n"/>
      <c r="D167" s="45" t="n"/>
      <c r="E167" s="9" t="n"/>
      <c r="F167" s="40" t="n"/>
      <c r="G167" s="9" t="n"/>
      <c r="H167" s="9" t="n"/>
      <c r="I167" s="9" t="n"/>
      <c r="J167" s="9" t="n"/>
      <c r="K167" s="9" t="n"/>
      <c r="L167" s="35" t="n"/>
      <c r="M167" s="9" t="n"/>
      <c r="N167" s="9" t="n"/>
      <c r="O167" s="9" t="n"/>
      <c r="P167" s="9" t="n"/>
    </row>
    <row r="168">
      <c r="A168" s="9" t="n"/>
      <c r="B168" s="35" t="n"/>
      <c r="C168" s="45" t="n"/>
      <c r="D168" s="45" t="n"/>
      <c r="E168" s="9" t="n"/>
      <c r="F168" s="40" t="n"/>
      <c r="G168" s="9" t="n"/>
      <c r="H168" s="9" t="n"/>
      <c r="I168" s="9" t="n"/>
      <c r="J168" s="9" t="n"/>
      <c r="K168" s="9" t="n"/>
      <c r="L168" s="35" t="n"/>
      <c r="M168" s="9" t="n"/>
      <c r="N168" s="9" t="n"/>
      <c r="O168" s="9" t="n"/>
      <c r="P168" s="9" t="n"/>
    </row>
    <row r="169">
      <c r="A169" s="9" t="n"/>
      <c r="B169" s="35" t="n"/>
      <c r="C169" s="45" t="n"/>
      <c r="D169" s="45" t="n"/>
      <c r="E169" s="9" t="n"/>
      <c r="F169" s="40" t="n"/>
      <c r="G169" s="9" t="n"/>
      <c r="H169" s="9" t="n"/>
      <c r="I169" s="9" t="n"/>
      <c r="J169" s="9" t="n"/>
      <c r="K169" s="9" t="n"/>
      <c r="L169" s="35" t="n"/>
      <c r="M169" s="9" t="n"/>
      <c r="N169" s="9" t="n"/>
      <c r="O169" s="9" t="n"/>
      <c r="P169" s="9" t="n"/>
    </row>
    <row r="170">
      <c r="A170" s="9" t="n"/>
      <c r="B170" s="35" t="n"/>
      <c r="C170" s="45" t="n"/>
      <c r="D170" s="45" t="n"/>
      <c r="E170" s="9" t="n"/>
      <c r="F170" s="40" t="n"/>
      <c r="G170" s="9" t="n"/>
      <c r="H170" s="9" t="n"/>
      <c r="I170" s="9" t="n"/>
      <c r="J170" s="9" t="n"/>
      <c r="K170" s="9" t="n"/>
      <c r="L170" s="35" t="n"/>
      <c r="M170" s="9" t="n"/>
      <c r="N170" s="9" t="n"/>
      <c r="O170" s="9" t="n"/>
      <c r="P170" s="9" t="n"/>
    </row>
    <row r="171">
      <c r="A171" s="9" t="n"/>
      <c r="B171" s="35" t="n"/>
      <c r="C171" s="45" t="n"/>
      <c r="D171" s="45" t="n"/>
      <c r="E171" s="9" t="n"/>
      <c r="F171" s="40" t="n"/>
      <c r="G171" s="9" t="n"/>
      <c r="H171" s="9" t="n"/>
      <c r="I171" s="9" t="n"/>
      <c r="J171" s="9" t="n"/>
      <c r="K171" s="9" t="n"/>
      <c r="L171" s="35" t="n"/>
      <c r="M171" s="9" t="n"/>
      <c r="N171" s="9" t="n"/>
      <c r="O171" s="9" t="n"/>
      <c r="P171" s="9" t="n"/>
    </row>
    <row r="172">
      <c r="A172" s="9" t="n"/>
      <c r="B172" s="35" t="n"/>
      <c r="C172" s="45" t="n"/>
      <c r="D172" s="45" t="n"/>
      <c r="E172" s="9" t="n"/>
      <c r="F172" s="40" t="n"/>
      <c r="G172" s="9" t="n"/>
      <c r="H172" s="9" t="n"/>
      <c r="I172" s="9" t="n"/>
      <c r="J172" s="9" t="n"/>
      <c r="K172" s="9" t="n"/>
      <c r="L172" s="35" t="n"/>
      <c r="M172" s="9" t="n"/>
      <c r="N172" s="9" t="n"/>
      <c r="O172" s="9" t="n"/>
      <c r="P172" s="9" t="n"/>
    </row>
    <row r="173">
      <c r="A173" s="9" t="n"/>
      <c r="B173" s="35" t="n"/>
      <c r="C173" s="45" t="n"/>
      <c r="D173" s="45" t="n"/>
      <c r="E173" s="9" t="n"/>
      <c r="F173" s="40" t="n"/>
      <c r="G173" s="9" t="n"/>
      <c r="H173" s="9" t="n"/>
      <c r="I173" s="9" t="n"/>
      <c r="J173" s="9" t="n"/>
      <c r="K173" s="9" t="n"/>
      <c r="L173" s="35" t="n"/>
      <c r="M173" s="9" t="n"/>
      <c r="N173" s="9" t="n"/>
      <c r="O173" s="9" t="n"/>
      <c r="P173" s="9" t="n"/>
    </row>
    <row r="174">
      <c r="A174" s="9" t="n"/>
      <c r="B174" s="35" t="n"/>
      <c r="C174" s="45" t="n"/>
      <c r="D174" s="45" t="n"/>
      <c r="E174" s="9" t="n"/>
      <c r="F174" s="40" t="n"/>
      <c r="G174" s="9" t="n"/>
      <c r="H174" s="9" t="n"/>
      <c r="I174" s="9" t="n"/>
      <c r="J174" s="9" t="n"/>
      <c r="K174" s="9" t="n"/>
      <c r="L174" s="35" t="n"/>
      <c r="M174" s="9" t="n"/>
      <c r="N174" s="9" t="n"/>
      <c r="O174" s="9" t="n"/>
      <c r="P174" s="9" t="n"/>
    </row>
    <row r="175">
      <c r="A175" s="9" t="n"/>
      <c r="B175" s="35" t="n"/>
      <c r="C175" s="45" t="n"/>
      <c r="D175" s="45" t="n"/>
      <c r="E175" s="9" t="n"/>
      <c r="F175" s="40" t="n"/>
      <c r="G175" s="9" t="n"/>
      <c r="H175" s="9" t="n"/>
      <c r="I175" s="9" t="n"/>
      <c r="J175" s="9" t="n"/>
      <c r="K175" s="9" t="n"/>
      <c r="L175" s="35" t="n"/>
      <c r="M175" s="9" t="n"/>
      <c r="N175" s="9" t="n"/>
      <c r="O175" s="9" t="n"/>
      <c r="P175" s="9" t="n"/>
    </row>
    <row r="176">
      <c r="A176" s="9" t="n"/>
      <c r="B176" s="35" t="n"/>
      <c r="C176" s="45" t="n"/>
      <c r="D176" s="45" t="n"/>
      <c r="E176" s="9" t="n"/>
      <c r="F176" s="40" t="n"/>
      <c r="G176" s="9" t="n"/>
      <c r="H176" s="9" t="n"/>
      <c r="I176" s="9" t="n"/>
      <c r="J176" s="9" t="n"/>
      <c r="K176" s="9" t="n"/>
      <c r="L176" s="35" t="n"/>
      <c r="M176" s="9" t="n"/>
      <c r="N176" s="9" t="n"/>
      <c r="O176" s="9" t="n"/>
      <c r="P176" s="9" t="n"/>
    </row>
    <row r="177">
      <c r="A177" s="9" t="n"/>
      <c r="B177" s="35" t="n"/>
      <c r="C177" s="45" t="n"/>
      <c r="D177" s="45" t="n"/>
      <c r="E177" s="9" t="n"/>
      <c r="F177" s="40" t="n"/>
      <c r="G177" s="9" t="n"/>
      <c r="H177" s="9" t="n"/>
      <c r="I177" s="9" t="n"/>
      <c r="J177" s="9" t="n"/>
      <c r="K177" s="9" t="n"/>
      <c r="L177" s="35" t="n"/>
      <c r="M177" s="9" t="n"/>
      <c r="N177" s="9" t="n"/>
      <c r="O177" s="9" t="n"/>
      <c r="P177" s="9" t="n"/>
    </row>
    <row r="178">
      <c r="A178" s="9" t="n"/>
      <c r="B178" s="35" t="n"/>
      <c r="C178" s="45" t="n"/>
      <c r="D178" s="45" t="n"/>
      <c r="E178" s="9" t="n"/>
      <c r="F178" s="40" t="n"/>
      <c r="G178" s="9" t="n"/>
      <c r="H178" s="9" t="n"/>
      <c r="I178" s="9" t="n"/>
      <c r="J178" s="9" t="n"/>
      <c r="K178" s="9" t="n"/>
      <c r="L178" s="35" t="n"/>
      <c r="M178" s="9" t="n"/>
      <c r="N178" s="9" t="n"/>
      <c r="O178" s="9" t="n"/>
      <c r="P178" s="9" t="n"/>
    </row>
    <row r="179">
      <c r="A179" s="9" t="n"/>
      <c r="B179" s="35" t="n"/>
      <c r="C179" s="45" t="n"/>
      <c r="D179" s="45" t="n"/>
      <c r="E179" s="9" t="n"/>
      <c r="F179" s="40" t="n"/>
      <c r="G179" s="9" t="n"/>
      <c r="H179" s="9" t="n"/>
      <c r="I179" s="9" t="n"/>
      <c r="J179" s="9" t="n"/>
      <c r="K179" s="9" t="n"/>
      <c r="L179" s="35" t="n"/>
      <c r="M179" s="9" t="n"/>
      <c r="N179" s="9" t="n"/>
      <c r="O179" s="9" t="n"/>
      <c r="P179" s="9" t="n"/>
    </row>
    <row r="180">
      <c r="A180" s="9" t="n"/>
      <c r="B180" s="35" t="n"/>
      <c r="C180" s="45" t="n"/>
      <c r="D180" s="45" t="n"/>
      <c r="E180" s="9" t="n"/>
      <c r="F180" s="40" t="n"/>
      <c r="G180" s="9" t="n"/>
      <c r="H180" s="9" t="n"/>
      <c r="I180" s="9" t="n"/>
      <c r="J180" s="9" t="n"/>
      <c r="K180" s="9" t="n"/>
      <c r="L180" s="35" t="n"/>
      <c r="M180" s="9" t="n"/>
      <c r="N180" s="9" t="n"/>
      <c r="O180" s="9" t="n"/>
      <c r="P180" s="9" t="n"/>
    </row>
    <row r="181">
      <c r="A181" s="9" t="n"/>
      <c r="B181" s="35" t="n"/>
      <c r="C181" s="45" t="n"/>
      <c r="D181" s="45" t="n"/>
      <c r="E181" s="9" t="n"/>
      <c r="F181" s="40" t="n"/>
      <c r="G181" s="9" t="n"/>
      <c r="H181" s="9" t="n"/>
      <c r="I181" s="9" t="n"/>
      <c r="J181" s="9" t="n"/>
      <c r="K181" s="9" t="n"/>
      <c r="L181" s="35" t="n"/>
      <c r="M181" s="9" t="n"/>
      <c r="N181" s="9" t="n"/>
      <c r="O181" s="9" t="n"/>
      <c r="P181" s="9" t="n"/>
    </row>
    <row r="182">
      <c r="A182" s="9" t="n"/>
      <c r="B182" s="35" t="n"/>
      <c r="C182" s="45" t="n"/>
      <c r="D182" s="45" t="n"/>
      <c r="E182" s="9" t="n"/>
      <c r="F182" s="40" t="n"/>
      <c r="G182" s="9" t="n"/>
      <c r="H182" s="9" t="n"/>
      <c r="I182" s="9" t="n"/>
      <c r="J182" s="9" t="n"/>
      <c r="K182" s="9" t="n"/>
      <c r="L182" s="35" t="n"/>
      <c r="M182" s="9" t="n"/>
      <c r="N182" s="9" t="n"/>
      <c r="O182" s="9" t="n"/>
      <c r="P182" s="9" t="n"/>
    </row>
    <row r="183">
      <c r="A183" s="9" t="n"/>
      <c r="B183" s="35" t="n"/>
      <c r="C183" s="45" t="n"/>
      <c r="D183" s="45" t="n"/>
      <c r="E183" s="9" t="n"/>
      <c r="F183" s="40" t="n"/>
      <c r="G183" s="9" t="n"/>
      <c r="H183" s="9" t="n"/>
      <c r="I183" s="9" t="n"/>
      <c r="J183" s="9" t="n"/>
      <c r="K183" s="9" t="n"/>
      <c r="L183" s="35" t="n"/>
      <c r="M183" s="9" t="n"/>
      <c r="N183" s="9" t="n"/>
      <c r="O183" s="9" t="n"/>
      <c r="P183" s="9" t="n"/>
    </row>
    <row r="184">
      <c r="A184" s="9" t="n"/>
      <c r="B184" s="35" t="n"/>
      <c r="C184" s="45" t="n"/>
      <c r="D184" s="45" t="n"/>
      <c r="E184" s="9" t="n"/>
      <c r="F184" s="40" t="n"/>
      <c r="G184" s="9" t="n"/>
      <c r="H184" s="9" t="n"/>
      <c r="I184" s="9" t="n"/>
      <c r="J184" s="9" t="n"/>
      <c r="K184" s="9" t="n"/>
      <c r="L184" s="35" t="n"/>
      <c r="M184" s="9" t="n"/>
      <c r="N184" s="9" t="n"/>
      <c r="O184" s="9" t="n"/>
      <c r="P184" s="9" t="n"/>
    </row>
    <row r="185">
      <c r="A185" s="9" t="n"/>
      <c r="B185" s="35" t="n"/>
      <c r="C185" s="45" t="n"/>
      <c r="D185" s="45" t="n"/>
      <c r="E185" s="9" t="n"/>
      <c r="F185" s="40" t="n"/>
      <c r="G185" s="9" t="n"/>
      <c r="H185" s="9" t="n"/>
      <c r="I185" s="9" t="n"/>
      <c r="J185" s="9" t="n"/>
      <c r="K185" s="9" t="n"/>
      <c r="L185" s="35" t="n"/>
      <c r="M185" s="9" t="n"/>
      <c r="N185" s="9" t="n"/>
      <c r="O185" s="9" t="n"/>
      <c r="P185" s="9" t="n"/>
    </row>
    <row r="186">
      <c r="A186" s="9" t="n"/>
      <c r="B186" s="35" t="n"/>
      <c r="C186" s="45" t="n"/>
      <c r="D186" s="45" t="n"/>
      <c r="E186" s="9" t="n"/>
      <c r="F186" s="40" t="n"/>
      <c r="G186" s="9" t="n"/>
      <c r="H186" s="9" t="n"/>
      <c r="I186" s="9" t="n"/>
      <c r="J186" s="9" t="n"/>
      <c r="K186" s="9" t="n"/>
      <c r="L186" s="35" t="n"/>
      <c r="M186" s="9" t="n"/>
      <c r="N186" s="9" t="n"/>
      <c r="O186" s="9" t="n"/>
      <c r="P186" s="9" t="n"/>
    </row>
    <row r="187">
      <c r="A187" s="9" t="n"/>
      <c r="B187" s="35" t="n"/>
      <c r="C187" s="45" t="n"/>
      <c r="D187" s="45" t="n"/>
      <c r="E187" s="9" t="n"/>
      <c r="F187" s="40" t="n"/>
      <c r="G187" s="9" t="n"/>
      <c r="H187" s="9" t="n"/>
      <c r="I187" s="9" t="n"/>
      <c r="J187" s="9" t="n"/>
      <c r="K187" s="9" t="n"/>
      <c r="L187" s="35" t="n"/>
      <c r="M187" s="9" t="n"/>
      <c r="N187" s="9" t="n"/>
      <c r="O187" s="9" t="n"/>
      <c r="P187" s="9" t="n"/>
    </row>
    <row r="188">
      <c r="A188" s="9" t="n"/>
      <c r="B188" s="35" t="n"/>
      <c r="C188" s="45" t="n"/>
      <c r="D188" s="45" t="n"/>
      <c r="E188" s="9" t="n"/>
      <c r="F188" s="40" t="n"/>
      <c r="G188" s="9" t="n"/>
      <c r="H188" s="9" t="n"/>
      <c r="I188" s="9" t="n"/>
      <c r="J188" s="9" t="n"/>
      <c r="K188" s="9" t="n"/>
      <c r="L188" s="35" t="n"/>
      <c r="M188" s="9" t="n"/>
      <c r="N188" s="9" t="n"/>
      <c r="O188" s="9" t="n"/>
      <c r="P188" s="9" t="n"/>
    </row>
    <row r="189">
      <c r="A189" s="9" t="n"/>
      <c r="B189" s="35" t="n"/>
      <c r="C189" s="45" t="n"/>
      <c r="D189" s="45" t="n"/>
      <c r="E189" s="9" t="n"/>
      <c r="F189" s="40" t="n"/>
      <c r="G189" s="9" t="n"/>
      <c r="H189" s="9" t="n"/>
      <c r="I189" s="9" t="n"/>
      <c r="J189" s="9" t="n"/>
      <c r="K189" s="9" t="n"/>
      <c r="L189" s="35" t="n"/>
      <c r="M189" s="9" t="n"/>
      <c r="N189" s="9" t="n"/>
      <c r="O189" s="9" t="n"/>
      <c r="P189" s="9" t="n"/>
    </row>
    <row r="190">
      <c r="A190" s="9" t="n"/>
      <c r="B190" s="35" t="n"/>
      <c r="C190" s="45" t="n"/>
      <c r="D190" s="45" t="n"/>
      <c r="E190" s="9" t="n"/>
      <c r="F190" s="40" t="n"/>
      <c r="G190" s="9" t="n"/>
      <c r="H190" s="9" t="n"/>
      <c r="I190" s="9" t="n"/>
      <c r="J190" s="9" t="n"/>
      <c r="K190" s="9" t="n"/>
      <c r="L190" s="35" t="n"/>
      <c r="M190" s="9" t="n"/>
      <c r="N190" s="9" t="n"/>
      <c r="O190" s="9" t="n"/>
      <c r="P190" s="9" t="n"/>
    </row>
    <row r="191">
      <c r="A191" s="9" t="n"/>
      <c r="B191" s="35" t="n"/>
      <c r="C191" s="45" t="n"/>
      <c r="D191" s="45" t="n"/>
      <c r="E191" s="9" t="n"/>
      <c r="F191" s="40" t="n"/>
      <c r="G191" s="9" t="n"/>
      <c r="H191" s="9" t="n"/>
      <c r="I191" s="9" t="n"/>
      <c r="J191" s="9" t="n"/>
      <c r="K191" s="9" t="n"/>
      <c r="L191" s="35" t="n"/>
      <c r="M191" s="9" t="n"/>
      <c r="N191" s="9" t="n"/>
      <c r="O191" s="9" t="n"/>
      <c r="P191" s="9" t="n"/>
    </row>
    <row r="192">
      <c r="A192" s="9" t="n"/>
      <c r="B192" s="35" t="n"/>
      <c r="C192" s="45" t="n"/>
      <c r="D192" s="45" t="n"/>
      <c r="E192" s="9" t="n"/>
      <c r="F192" s="40" t="n"/>
      <c r="G192" s="9" t="n"/>
      <c r="H192" s="9" t="n"/>
      <c r="I192" s="9" t="n"/>
      <c r="J192" s="9" t="n"/>
      <c r="K192" s="9" t="n"/>
      <c r="L192" s="35" t="n"/>
      <c r="M192" s="9" t="n"/>
      <c r="N192" s="9" t="n"/>
      <c r="O192" s="9" t="n"/>
      <c r="P192" s="9" t="n"/>
    </row>
    <row r="193">
      <c r="A193" s="9" t="n"/>
      <c r="B193" s="35" t="n"/>
      <c r="C193" s="45" t="n"/>
      <c r="D193" s="45" t="n"/>
      <c r="E193" s="9" t="n"/>
      <c r="F193" s="40" t="n"/>
      <c r="G193" s="9" t="n"/>
      <c r="H193" s="9" t="n"/>
      <c r="I193" s="9" t="n"/>
      <c r="J193" s="9" t="n"/>
      <c r="K193" s="9" t="n"/>
      <c r="L193" s="35" t="n"/>
      <c r="M193" s="9" t="n"/>
      <c r="N193" s="9" t="n"/>
      <c r="O193" s="9" t="n"/>
      <c r="P193" s="9" t="n"/>
    </row>
    <row r="194">
      <c r="A194" s="9" t="n"/>
      <c r="B194" s="35" t="n"/>
      <c r="C194" s="45" t="n"/>
      <c r="D194" s="45" t="n"/>
      <c r="E194" s="9" t="n"/>
      <c r="F194" s="40" t="n"/>
      <c r="G194" s="9" t="n"/>
      <c r="H194" s="9" t="n"/>
      <c r="I194" s="9" t="n"/>
      <c r="J194" s="9" t="n"/>
      <c r="K194" s="9" t="n"/>
      <c r="L194" s="35" t="n"/>
      <c r="M194" s="9" t="n"/>
      <c r="N194" s="9" t="n"/>
      <c r="O194" s="9" t="n"/>
      <c r="P194" s="9" t="n"/>
    </row>
    <row r="195">
      <c r="A195" s="9" t="n"/>
      <c r="B195" s="35" t="n"/>
      <c r="C195" s="45" t="n"/>
      <c r="D195" s="45" t="n"/>
      <c r="E195" s="9" t="n"/>
      <c r="F195" s="40" t="n"/>
      <c r="G195" s="9" t="n"/>
      <c r="H195" s="9" t="n"/>
      <c r="I195" s="9" t="n"/>
      <c r="J195" s="9" t="n"/>
      <c r="K195" s="9" t="n"/>
      <c r="L195" s="35" t="n"/>
      <c r="M195" s="9" t="n"/>
      <c r="N195" s="9" t="n"/>
      <c r="O195" s="9" t="n"/>
      <c r="P195" s="9" t="n"/>
    </row>
    <row r="196">
      <c r="A196" s="9" t="n"/>
      <c r="B196" s="35" t="n"/>
      <c r="C196" s="45" t="n"/>
      <c r="D196" s="45" t="n"/>
      <c r="E196" s="9" t="n"/>
      <c r="F196" s="40" t="n"/>
      <c r="G196" s="9" t="n"/>
      <c r="H196" s="9" t="n"/>
      <c r="I196" s="9" t="n"/>
      <c r="J196" s="9" t="n"/>
      <c r="K196" s="9" t="n"/>
      <c r="L196" s="35" t="n"/>
      <c r="M196" s="9" t="n"/>
      <c r="N196" s="9" t="n"/>
      <c r="O196" s="9" t="n"/>
      <c r="P196" s="9" t="n"/>
    </row>
    <row r="197">
      <c r="A197" s="9" t="n"/>
      <c r="B197" s="35" t="n"/>
      <c r="C197" s="45" t="n"/>
      <c r="D197" s="45" t="n"/>
      <c r="E197" s="9" t="n"/>
      <c r="F197" s="40" t="n"/>
      <c r="G197" s="9" t="n"/>
      <c r="H197" s="9" t="n"/>
      <c r="I197" s="9" t="n"/>
      <c r="J197" s="9" t="n"/>
      <c r="K197" s="9" t="n"/>
      <c r="L197" s="35" t="n"/>
      <c r="M197" s="9" t="n"/>
      <c r="N197" s="9" t="n"/>
      <c r="O197" s="9" t="n"/>
      <c r="P197" s="9" t="n"/>
    </row>
    <row r="198">
      <c r="A198" s="9" t="n"/>
      <c r="B198" s="35" t="n"/>
      <c r="C198" s="45" t="n"/>
      <c r="D198" s="45" t="n"/>
      <c r="E198" s="9" t="n"/>
      <c r="F198" s="40" t="n"/>
      <c r="G198" s="9" t="n"/>
      <c r="H198" s="9" t="n"/>
      <c r="I198" s="9" t="n"/>
      <c r="J198" s="9" t="n"/>
      <c r="K198" s="9" t="n"/>
      <c r="L198" s="35" t="n"/>
      <c r="M198" s="9" t="n"/>
      <c r="N198" s="9" t="n"/>
      <c r="O198" s="9" t="n"/>
      <c r="P198" s="9" t="n"/>
    </row>
    <row r="199">
      <c r="A199" s="9" t="n"/>
      <c r="B199" s="35" t="n"/>
      <c r="C199" s="45" t="n"/>
      <c r="D199" s="45" t="n"/>
      <c r="E199" s="9" t="n"/>
      <c r="F199" s="40" t="n"/>
      <c r="G199" s="9" t="n"/>
      <c r="H199" s="9" t="n"/>
      <c r="I199" s="9" t="n"/>
      <c r="J199" s="9" t="n"/>
      <c r="K199" s="9" t="n"/>
      <c r="L199" s="35" t="n"/>
      <c r="M199" s="9" t="n"/>
      <c r="N199" s="9" t="n"/>
      <c r="O199" s="9" t="n"/>
      <c r="P199" s="9" t="n"/>
    </row>
    <row r="200">
      <c r="A200" s="9" t="n"/>
      <c r="B200" s="35" t="n"/>
      <c r="C200" s="45" t="n"/>
      <c r="D200" s="45" t="n"/>
      <c r="E200" s="9" t="n"/>
      <c r="F200" s="40" t="n"/>
      <c r="G200" s="9" t="n"/>
      <c r="H200" s="9" t="n"/>
      <c r="I200" s="9" t="n"/>
      <c r="J200" s="9" t="n"/>
      <c r="K200" s="9" t="n"/>
      <c r="L200" s="35" t="n"/>
      <c r="M200" s="9" t="n"/>
      <c r="N200" s="9" t="n"/>
      <c r="O200" s="9" t="n"/>
      <c r="P200" s="9" t="n"/>
    </row>
    <row r="201">
      <c r="A201" s="9" t="n"/>
      <c r="B201" s="35" t="n"/>
      <c r="C201" s="45" t="n"/>
      <c r="D201" s="45" t="n"/>
      <c r="E201" s="9" t="n"/>
      <c r="F201" s="40" t="n"/>
      <c r="G201" s="9" t="n"/>
      <c r="H201" s="9" t="n"/>
      <c r="I201" s="9" t="n"/>
      <c r="J201" s="9" t="n"/>
      <c r="K201" s="9" t="n"/>
      <c r="L201" s="35" t="n"/>
      <c r="M201" s="9" t="n"/>
      <c r="N201" s="9" t="n"/>
      <c r="O201" s="9" t="n"/>
      <c r="P201" s="9" t="n"/>
    </row>
    <row r="202">
      <c r="A202" s="9" t="n"/>
      <c r="B202" s="35" t="n"/>
      <c r="C202" s="45" t="n"/>
      <c r="D202" s="45" t="n"/>
      <c r="E202" s="9" t="n"/>
      <c r="F202" s="40" t="n"/>
      <c r="G202" s="9" t="n"/>
      <c r="H202" s="9" t="n"/>
      <c r="I202" s="9" t="n"/>
      <c r="J202" s="9" t="n"/>
      <c r="K202" s="9" t="n"/>
      <c r="L202" s="35" t="n"/>
      <c r="M202" s="9" t="n"/>
      <c r="N202" s="9" t="n"/>
      <c r="O202" s="9" t="n"/>
      <c r="P202" s="9" t="n"/>
    </row>
    <row r="203">
      <c r="A203" s="9" t="n"/>
      <c r="B203" s="35" t="n"/>
      <c r="C203" s="45" t="n"/>
      <c r="D203" s="45" t="n"/>
      <c r="E203" s="9" t="n"/>
      <c r="F203" s="40" t="n"/>
      <c r="G203" s="9" t="n"/>
      <c r="H203" s="9" t="n"/>
      <c r="I203" s="9" t="n"/>
      <c r="J203" s="9" t="n"/>
      <c r="K203" s="9" t="n"/>
      <c r="L203" s="35" t="n"/>
      <c r="M203" s="9" t="n"/>
      <c r="N203" s="9" t="n"/>
      <c r="O203" s="9" t="n"/>
      <c r="P203" s="9" t="n"/>
    </row>
    <row r="204">
      <c r="A204" s="9" t="n"/>
      <c r="B204" s="35" t="n"/>
      <c r="C204" s="45" t="n"/>
      <c r="D204" s="45" t="n"/>
      <c r="E204" s="9" t="n"/>
      <c r="F204" s="40" t="n"/>
      <c r="G204" s="9" t="n"/>
      <c r="H204" s="9" t="n"/>
      <c r="I204" s="9" t="n"/>
      <c r="J204" s="9" t="n"/>
      <c r="K204" s="9" t="n"/>
      <c r="L204" s="35" t="n"/>
      <c r="M204" s="9" t="n"/>
      <c r="N204" s="9" t="n"/>
      <c r="O204" s="9" t="n"/>
      <c r="P204" s="9" t="n"/>
    </row>
    <row r="205">
      <c r="A205" s="9" t="n"/>
      <c r="B205" s="35" t="n"/>
      <c r="C205" s="45" t="n"/>
      <c r="D205" s="45" t="n"/>
      <c r="E205" s="9" t="n"/>
      <c r="F205" s="40" t="n"/>
      <c r="G205" s="9" t="n"/>
      <c r="H205" s="9" t="n"/>
      <c r="I205" s="9" t="n"/>
      <c r="J205" s="9" t="n"/>
      <c r="K205" s="9" t="n"/>
      <c r="L205" s="35" t="n"/>
      <c r="M205" s="9" t="n"/>
      <c r="N205" s="9" t="n"/>
      <c r="O205" s="9" t="n"/>
      <c r="P205" s="9" t="n"/>
    </row>
    <row r="206">
      <c r="A206" s="9" t="n"/>
      <c r="B206" s="35" t="n"/>
      <c r="C206" s="45" t="n"/>
      <c r="D206" s="45" t="n"/>
      <c r="E206" s="9" t="n"/>
      <c r="F206" s="40" t="n"/>
      <c r="G206" s="9" t="n"/>
      <c r="H206" s="9" t="n"/>
      <c r="I206" s="9" t="n"/>
      <c r="J206" s="9" t="n"/>
      <c r="K206" s="9" t="n"/>
      <c r="L206" s="35" t="n"/>
      <c r="M206" s="9" t="n"/>
      <c r="N206" s="9" t="n"/>
      <c r="O206" s="9" t="n"/>
      <c r="P206" s="9" t="n"/>
    </row>
    <row r="207">
      <c r="A207" s="9" t="n"/>
      <c r="B207" s="35" t="n"/>
      <c r="C207" s="45" t="n"/>
      <c r="D207" s="45" t="n"/>
      <c r="E207" s="9" t="n"/>
      <c r="F207" s="40" t="n"/>
      <c r="G207" s="9" t="n"/>
      <c r="H207" s="9" t="n"/>
      <c r="I207" s="9" t="n"/>
      <c r="J207" s="9" t="n"/>
      <c r="K207" s="9" t="n"/>
      <c r="L207" s="35" t="n"/>
      <c r="M207" s="9" t="n"/>
      <c r="N207" s="9" t="n"/>
      <c r="O207" s="9" t="n"/>
      <c r="P207" s="9" t="n"/>
    </row>
    <row r="208">
      <c r="A208" s="9" t="n"/>
      <c r="B208" s="35" t="n"/>
      <c r="C208" s="45" t="n"/>
      <c r="D208" s="45" t="n"/>
      <c r="E208" s="9" t="n"/>
      <c r="F208" s="40" t="n"/>
      <c r="G208" s="9" t="n"/>
      <c r="H208" s="9" t="n"/>
      <c r="I208" s="9" t="n"/>
      <c r="J208" s="9" t="n"/>
      <c r="K208" s="9" t="n"/>
      <c r="L208" s="35" t="n"/>
      <c r="M208" s="9" t="n"/>
      <c r="N208" s="9" t="n"/>
      <c r="O208" s="9" t="n"/>
      <c r="P208" s="9" t="n"/>
    </row>
    <row r="209">
      <c r="A209" s="9" t="n"/>
      <c r="B209" s="35" t="n"/>
      <c r="C209" s="45" t="n"/>
      <c r="D209" s="45" t="n"/>
      <c r="E209" s="9" t="n"/>
      <c r="F209" s="40" t="n"/>
      <c r="G209" s="9" t="n"/>
      <c r="H209" s="9" t="n"/>
      <c r="I209" s="9" t="n"/>
      <c r="J209" s="9" t="n"/>
      <c r="K209" s="9" t="n"/>
      <c r="L209" s="35" t="n"/>
      <c r="M209" s="9" t="n"/>
      <c r="N209" s="9" t="n"/>
      <c r="O209" s="9" t="n"/>
      <c r="P209" s="9" t="n"/>
    </row>
    <row r="210">
      <c r="A210" s="9" t="n"/>
      <c r="B210" s="35" t="n"/>
      <c r="C210" s="45" t="n"/>
      <c r="D210" s="45" t="n"/>
      <c r="E210" s="9" t="n"/>
      <c r="F210" s="40" t="n"/>
      <c r="G210" s="9" t="n"/>
      <c r="H210" s="9" t="n"/>
      <c r="I210" s="9" t="n"/>
      <c r="J210" s="9" t="n"/>
      <c r="K210" s="9" t="n"/>
      <c r="L210" s="35" t="n"/>
      <c r="M210" s="9" t="n"/>
      <c r="N210" s="9" t="n"/>
      <c r="O210" s="9" t="n"/>
      <c r="P210" s="9" t="n"/>
    </row>
    <row r="211">
      <c r="A211" s="9" t="n"/>
      <c r="B211" s="35" t="n"/>
      <c r="C211" s="45" t="n"/>
      <c r="D211" s="45" t="n"/>
      <c r="E211" s="9" t="n"/>
      <c r="F211" s="40" t="n"/>
      <c r="G211" s="9" t="n"/>
      <c r="H211" s="9" t="n"/>
      <c r="I211" s="9" t="n"/>
      <c r="J211" s="9" t="n"/>
      <c r="K211" s="9" t="n"/>
      <c r="L211" s="35" t="n"/>
      <c r="M211" s="9" t="n"/>
      <c r="N211" s="9" t="n"/>
      <c r="O211" s="9" t="n"/>
      <c r="P211" s="9" t="n"/>
    </row>
    <row r="212">
      <c r="A212" s="9" t="n"/>
      <c r="B212" s="35" t="n"/>
      <c r="C212" s="45" t="n"/>
      <c r="D212" s="45" t="n"/>
      <c r="E212" s="9" t="n"/>
      <c r="F212" s="40" t="n"/>
      <c r="G212" s="9" t="n"/>
      <c r="H212" s="9" t="n"/>
      <c r="I212" s="9" t="n"/>
      <c r="J212" s="9" t="n"/>
      <c r="K212" s="9" t="n"/>
      <c r="L212" s="35" t="n"/>
      <c r="M212" s="9" t="n"/>
      <c r="N212" s="9" t="n"/>
      <c r="O212" s="9" t="n"/>
      <c r="P212" s="9" t="n"/>
    </row>
    <row r="213">
      <c r="A213" s="9" t="n"/>
      <c r="B213" s="35" t="n"/>
      <c r="C213" s="45" t="n"/>
      <c r="D213" s="45" t="n"/>
      <c r="E213" s="9" t="n"/>
      <c r="F213" s="40" t="n"/>
      <c r="G213" s="9" t="n"/>
      <c r="H213" s="9" t="n"/>
      <c r="I213" s="9" t="n"/>
      <c r="J213" s="9" t="n"/>
      <c r="K213" s="9" t="n"/>
      <c r="L213" s="35" t="n"/>
      <c r="M213" s="9" t="n"/>
      <c r="N213" s="9" t="n"/>
      <c r="O213" s="9" t="n"/>
      <c r="P213" s="9" t="n"/>
    </row>
    <row r="214">
      <c r="A214" s="9" t="n"/>
      <c r="B214" s="35" t="n"/>
      <c r="C214" s="45" t="n"/>
      <c r="D214" s="45" t="n"/>
      <c r="E214" s="9" t="n"/>
      <c r="F214" s="40" t="n"/>
      <c r="G214" s="9" t="n"/>
      <c r="H214" s="9" t="n"/>
      <c r="I214" s="9" t="n"/>
      <c r="J214" s="9" t="n"/>
      <c r="K214" s="9" t="n"/>
      <c r="L214" s="35" t="n"/>
      <c r="M214" s="9" t="n"/>
      <c r="N214" s="9" t="n"/>
      <c r="O214" s="9" t="n"/>
      <c r="P214" s="9" t="n"/>
    </row>
    <row r="215">
      <c r="A215" s="9" t="n"/>
      <c r="B215" s="35" t="n"/>
      <c r="C215" s="45" t="n"/>
      <c r="D215" s="45" t="n"/>
      <c r="E215" s="9" t="n"/>
      <c r="F215" s="40" t="n"/>
      <c r="G215" s="9" t="n"/>
      <c r="H215" s="9" t="n"/>
      <c r="I215" s="9" t="n"/>
      <c r="J215" s="9" t="n"/>
      <c r="K215" s="9" t="n"/>
      <c r="L215" s="35" t="n"/>
      <c r="M215" s="9" t="n"/>
      <c r="N215" s="9" t="n"/>
      <c r="O215" s="9" t="n"/>
      <c r="P215" s="9" t="n"/>
    </row>
    <row r="216">
      <c r="A216" s="9" t="n"/>
      <c r="B216" s="35" t="n"/>
      <c r="C216" s="45" t="n"/>
      <c r="D216" s="45" t="n"/>
      <c r="E216" s="9" t="n"/>
      <c r="F216" s="40" t="n"/>
      <c r="G216" s="9" t="n"/>
      <c r="H216" s="9" t="n"/>
      <c r="I216" s="9" t="n"/>
      <c r="J216" s="9" t="n"/>
      <c r="K216" s="9" t="n"/>
      <c r="L216" s="35" t="n"/>
      <c r="M216" s="9" t="n"/>
      <c r="N216" s="9" t="n"/>
      <c r="O216" s="9" t="n"/>
      <c r="P216" s="9" t="n"/>
    </row>
    <row r="217">
      <c r="A217" s="9" t="n"/>
      <c r="B217" s="35" t="n"/>
      <c r="C217" s="45" t="n"/>
      <c r="D217" s="45" t="n"/>
      <c r="E217" s="9" t="n"/>
      <c r="F217" s="40" t="n"/>
      <c r="G217" s="9" t="n"/>
      <c r="H217" s="9" t="n"/>
      <c r="I217" s="9" t="n"/>
      <c r="J217" s="9" t="n"/>
      <c r="K217" s="9" t="n"/>
      <c r="L217" s="35" t="n"/>
      <c r="M217" s="9" t="n"/>
      <c r="N217" s="9" t="n"/>
      <c r="O217" s="9" t="n"/>
      <c r="P217" s="9" t="n"/>
    </row>
    <row r="218">
      <c r="A218" s="9" t="n"/>
      <c r="B218" s="35" t="n"/>
      <c r="C218" s="45" t="n"/>
      <c r="D218" s="45" t="n"/>
      <c r="E218" s="9" t="n"/>
      <c r="F218" s="40" t="n"/>
      <c r="G218" s="9" t="n"/>
      <c r="H218" s="9" t="n"/>
      <c r="I218" s="9" t="n"/>
      <c r="J218" s="9" t="n"/>
      <c r="K218" s="9" t="n"/>
      <c r="L218" s="35" t="n"/>
      <c r="M218" s="9" t="n"/>
      <c r="N218" s="9" t="n"/>
      <c r="O218" s="9" t="n"/>
      <c r="P218" s="9" t="n"/>
    </row>
    <row r="219">
      <c r="A219" s="9" t="n"/>
      <c r="B219" s="35" t="n"/>
      <c r="C219" s="45" t="n"/>
      <c r="D219" s="45" t="n"/>
      <c r="E219" s="9" t="n"/>
      <c r="F219" s="40" t="n"/>
      <c r="G219" s="9" t="n"/>
      <c r="H219" s="9" t="n"/>
      <c r="I219" s="9" t="n"/>
      <c r="J219" s="9" t="n"/>
      <c r="K219" s="9" t="n"/>
      <c r="L219" s="35" t="n"/>
      <c r="M219" s="9" t="n"/>
      <c r="N219" s="9" t="n"/>
      <c r="O219" s="9" t="n"/>
      <c r="P219" s="9" t="n"/>
    </row>
    <row r="220">
      <c r="A220" s="9" t="n"/>
      <c r="B220" s="35" t="n"/>
      <c r="C220" s="45" t="n"/>
      <c r="D220" s="45" t="n"/>
      <c r="E220" s="9" t="n"/>
      <c r="F220" s="40" t="n"/>
      <c r="G220" s="9" t="n"/>
      <c r="H220" s="9" t="n"/>
      <c r="I220" s="9" t="n"/>
      <c r="J220" s="9" t="n"/>
      <c r="K220" s="9" t="n"/>
      <c r="L220" s="35" t="n"/>
      <c r="M220" s="9" t="n"/>
      <c r="N220" s="9" t="n"/>
      <c r="O220" s="9" t="n"/>
      <c r="P220" s="9" t="n"/>
    </row>
    <row r="221">
      <c r="A221" s="9" t="n"/>
      <c r="B221" s="35" t="n"/>
      <c r="C221" s="45" t="n"/>
      <c r="D221" s="45" t="n"/>
      <c r="E221" s="9" t="n"/>
      <c r="F221" s="40" t="n"/>
      <c r="G221" s="9" t="n"/>
      <c r="H221" s="9" t="n"/>
      <c r="I221" s="9" t="n"/>
      <c r="J221" s="9" t="n"/>
      <c r="K221" s="9" t="n"/>
      <c r="L221" s="35" t="n"/>
      <c r="M221" s="9" t="n"/>
      <c r="N221" s="9" t="n"/>
      <c r="O221" s="9" t="n"/>
      <c r="P221" s="9" t="n"/>
    </row>
    <row r="222">
      <c r="A222" s="9" t="n"/>
      <c r="B222" s="35" t="n"/>
      <c r="C222" s="45" t="n"/>
      <c r="D222" s="45" t="n"/>
      <c r="E222" s="9" t="n"/>
      <c r="F222" s="40" t="n"/>
      <c r="G222" s="9" t="n"/>
      <c r="H222" s="9" t="n"/>
      <c r="I222" s="9" t="n"/>
      <c r="J222" s="9" t="n"/>
      <c r="K222" s="9" t="n"/>
      <c r="L222" s="35" t="n"/>
      <c r="M222" s="9" t="n"/>
      <c r="N222" s="9" t="n"/>
      <c r="O222" s="9" t="n"/>
      <c r="P222" s="9" t="n"/>
    </row>
    <row r="223">
      <c r="A223" s="9" t="n"/>
      <c r="B223" s="35" t="n"/>
      <c r="C223" s="45" t="n"/>
      <c r="D223" s="45" t="n"/>
      <c r="E223" s="9" t="n"/>
      <c r="F223" s="40" t="n"/>
      <c r="G223" s="9" t="n"/>
      <c r="H223" s="9" t="n"/>
      <c r="I223" s="9" t="n"/>
      <c r="J223" s="9" t="n"/>
      <c r="K223" s="9" t="n"/>
      <c r="L223" s="35" t="n"/>
      <c r="M223" s="9" t="n"/>
      <c r="N223" s="9" t="n"/>
      <c r="O223" s="9" t="n"/>
      <c r="P223" s="9" t="n"/>
    </row>
    <row r="224">
      <c r="A224" s="9" t="n"/>
      <c r="B224" s="35" t="n"/>
      <c r="C224" s="45" t="n"/>
      <c r="D224" s="45" t="n"/>
      <c r="E224" s="9" t="n"/>
      <c r="F224" s="40" t="n"/>
      <c r="G224" s="9" t="n"/>
      <c r="H224" s="9" t="n"/>
      <c r="I224" s="9" t="n"/>
      <c r="J224" s="9" t="n"/>
      <c r="K224" s="9" t="n"/>
      <c r="L224" s="35" t="n"/>
      <c r="M224" s="9" t="n"/>
      <c r="N224" s="9" t="n"/>
      <c r="O224" s="9" t="n"/>
      <c r="P224" s="9" t="n"/>
    </row>
    <row r="225">
      <c r="A225" s="9" t="n"/>
      <c r="B225" s="35" t="n"/>
      <c r="C225" s="45" t="n"/>
      <c r="D225" s="45" t="n"/>
      <c r="E225" s="9" t="n"/>
      <c r="F225" s="40" t="n"/>
      <c r="G225" s="9" t="n"/>
      <c r="H225" s="9" t="n"/>
      <c r="I225" s="9" t="n"/>
      <c r="J225" s="9" t="n"/>
      <c r="K225" s="9" t="n"/>
      <c r="L225" s="35" t="n"/>
      <c r="M225" s="9" t="n"/>
      <c r="N225" s="9" t="n"/>
      <c r="O225" s="9" t="n"/>
      <c r="P225" s="9" t="n"/>
    </row>
    <row r="226">
      <c r="A226" s="9" t="n"/>
      <c r="B226" s="35" t="n"/>
      <c r="C226" s="45" t="n"/>
      <c r="D226" s="45" t="n"/>
      <c r="E226" s="9" t="n"/>
      <c r="F226" s="40" t="n"/>
      <c r="G226" s="9" t="n"/>
      <c r="H226" s="9" t="n"/>
      <c r="I226" s="9" t="n"/>
      <c r="J226" s="9" t="n"/>
      <c r="K226" s="9" t="n"/>
      <c r="L226" s="35" t="n"/>
      <c r="M226" s="9" t="n"/>
      <c r="N226" s="9" t="n"/>
      <c r="O226" s="9" t="n"/>
      <c r="P226" s="9" t="n"/>
    </row>
    <row r="227">
      <c r="A227" s="9" t="n"/>
      <c r="B227" s="35" t="n"/>
      <c r="C227" s="45" t="n"/>
      <c r="D227" s="45" t="n"/>
      <c r="E227" s="9" t="n"/>
      <c r="F227" s="40" t="n"/>
      <c r="G227" s="9" t="n"/>
      <c r="H227" s="9" t="n"/>
      <c r="I227" s="9" t="n"/>
      <c r="J227" s="9" t="n"/>
      <c r="K227" s="9" t="n"/>
      <c r="L227" s="35" t="n"/>
      <c r="M227" s="9" t="n"/>
      <c r="N227" s="9" t="n"/>
      <c r="O227" s="9" t="n"/>
      <c r="P227" s="9" t="n"/>
    </row>
    <row r="228">
      <c r="A228" s="9" t="n"/>
      <c r="B228" s="35" t="n"/>
      <c r="C228" s="45" t="n"/>
      <c r="D228" s="45" t="n"/>
      <c r="E228" s="9" t="n"/>
      <c r="F228" s="40" t="n"/>
      <c r="G228" s="9" t="n"/>
      <c r="H228" s="9" t="n"/>
      <c r="I228" s="9" t="n"/>
      <c r="J228" s="9" t="n"/>
      <c r="K228" s="9" t="n"/>
      <c r="L228" s="35" t="n"/>
      <c r="M228" s="9" t="n"/>
      <c r="N228" s="9" t="n"/>
      <c r="O228" s="9" t="n"/>
      <c r="P228" s="9" t="n"/>
    </row>
    <row r="229">
      <c r="A229" s="9" t="n"/>
      <c r="B229" s="35" t="n"/>
      <c r="C229" s="45" t="n"/>
      <c r="D229" s="45" t="n"/>
      <c r="E229" s="9" t="n"/>
      <c r="F229" s="40" t="n"/>
      <c r="G229" s="9" t="n"/>
      <c r="H229" s="9" t="n"/>
      <c r="I229" s="9" t="n"/>
      <c r="J229" s="9" t="n"/>
      <c r="K229" s="9" t="n"/>
      <c r="L229" s="35" t="n"/>
      <c r="M229" s="9" t="n"/>
      <c r="N229" s="9" t="n"/>
      <c r="O229" s="9" t="n"/>
      <c r="P229" s="9" t="n"/>
    </row>
    <row r="230">
      <c r="A230" s="9" t="n"/>
      <c r="B230" s="35" t="n"/>
      <c r="C230" s="45" t="n"/>
      <c r="D230" s="45" t="n"/>
      <c r="E230" s="9" t="n"/>
      <c r="F230" s="40" t="n"/>
      <c r="G230" s="9" t="n"/>
      <c r="H230" s="9" t="n"/>
      <c r="I230" s="9" t="n"/>
      <c r="J230" s="9" t="n"/>
      <c r="K230" s="9" t="n"/>
      <c r="L230" s="35" t="n"/>
      <c r="M230" s="9" t="n"/>
      <c r="N230" s="9" t="n"/>
      <c r="O230" s="9" t="n"/>
      <c r="P230" s="9" t="n"/>
    </row>
    <row r="231">
      <c r="A231" s="9" t="n"/>
      <c r="B231" s="35" t="n"/>
      <c r="C231" s="45" t="n"/>
      <c r="D231" s="45" t="n"/>
      <c r="E231" s="9" t="n"/>
      <c r="F231" s="40" t="n"/>
      <c r="G231" s="9" t="n"/>
      <c r="H231" s="9" t="n"/>
      <c r="I231" s="9" t="n"/>
      <c r="J231" s="9" t="n"/>
      <c r="K231" s="9" t="n"/>
      <c r="L231" s="35" t="n"/>
      <c r="M231" s="9" t="n"/>
      <c r="N231" s="9" t="n"/>
      <c r="O231" s="9" t="n"/>
      <c r="P231" s="9" t="n"/>
    </row>
    <row r="232">
      <c r="A232" s="9" t="n"/>
      <c r="B232" s="35" t="n"/>
      <c r="C232" s="45" t="n"/>
      <c r="D232" s="45" t="n"/>
      <c r="E232" s="9" t="n"/>
      <c r="F232" s="40" t="n"/>
      <c r="G232" s="9" t="n"/>
      <c r="H232" s="9" t="n"/>
      <c r="I232" s="9" t="n"/>
      <c r="J232" s="9" t="n"/>
      <c r="K232" s="9" t="n"/>
      <c r="L232" s="35" t="n"/>
      <c r="M232" s="9" t="n"/>
      <c r="N232" s="9" t="n"/>
      <c r="O232" s="9" t="n"/>
      <c r="P232" s="9" t="n"/>
    </row>
    <row r="233">
      <c r="A233" s="9" t="n"/>
      <c r="B233" s="35" t="n"/>
      <c r="C233" s="45" t="n"/>
      <c r="D233" s="45" t="n"/>
      <c r="E233" s="9" t="n"/>
      <c r="F233" s="40" t="n"/>
      <c r="G233" s="9" t="n"/>
      <c r="H233" s="9" t="n"/>
      <c r="I233" s="9" t="n"/>
      <c r="J233" s="9" t="n"/>
      <c r="K233" s="9" t="n"/>
      <c r="L233" s="35" t="n"/>
      <c r="M233" s="9" t="n"/>
      <c r="N233" s="9" t="n"/>
      <c r="O233" s="9" t="n"/>
      <c r="P233" s="9" t="n"/>
    </row>
    <row r="234">
      <c r="A234" s="9" t="n"/>
      <c r="B234" s="35" t="n"/>
      <c r="C234" s="45" t="n"/>
      <c r="D234" s="45" t="n"/>
      <c r="E234" s="9" t="n"/>
      <c r="F234" s="40" t="n"/>
      <c r="G234" s="9" t="n"/>
      <c r="H234" s="9" t="n"/>
      <c r="I234" s="9" t="n"/>
      <c r="J234" s="9" t="n"/>
      <c r="K234" s="9" t="n"/>
      <c r="L234" s="35" t="n"/>
      <c r="M234" s="9" t="n"/>
      <c r="N234" s="9" t="n"/>
      <c r="O234" s="9" t="n"/>
      <c r="P234" s="9" t="n"/>
    </row>
    <row r="235">
      <c r="A235" s="9" t="n"/>
      <c r="B235" s="35" t="n"/>
      <c r="C235" s="45" t="n"/>
      <c r="D235" s="45" t="n"/>
      <c r="E235" s="9" t="n"/>
      <c r="F235" s="40" t="n"/>
      <c r="G235" s="9" t="n"/>
      <c r="H235" s="9" t="n"/>
      <c r="I235" s="9" t="n"/>
      <c r="J235" s="9" t="n"/>
      <c r="K235" s="9" t="n"/>
      <c r="L235" s="35" t="n"/>
      <c r="M235" s="9" t="n"/>
      <c r="N235" s="9" t="n"/>
      <c r="O235" s="9" t="n"/>
      <c r="P235" s="9" t="n"/>
    </row>
    <row r="236">
      <c r="A236" s="9" t="n"/>
      <c r="B236" s="35" t="n"/>
      <c r="C236" s="45" t="n"/>
      <c r="D236" s="45" t="n"/>
      <c r="E236" s="9" t="n"/>
      <c r="F236" s="40" t="n"/>
      <c r="G236" s="9" t="n"/>
      <c r="H236" s="9" t="n"/>
      <c r="I236" s="9" t="n"/>
      <c r="J236" s="9" t="n"/>
      <c r="K236" s="9" t="n"/>
      <c r="L236" s="35" t="n"/>
      <c r="M236" s="9" t="n"/>
      <c r="N236" s="9" t="n"/>
      <c r="O236" s="9" t="n"/>
      <c r="P236" s="9" t="n"/>
    </row>
    <row r="237">
      <c r="A237" s="9" t="n"/>
      <c r="B237" s="35" t="n"/>
      <c r="C237" s="45" t="n"/>
      <c r="D237" s="45" t="n"/>
      <c r="E237" s="9" t="n"/>
      <c r="F237" s="40" t="n"/>
      <c r="G237" s="9" t="n"/>
      <c r="H237" s="9" t="n"/>
      <c r="I237" s="9" t="n"/>
      <c r="J237" s="9" t="n"/>
      <c r="K237" s="9" t="n"/>
      <c r="L237" s="35" t="n"/>
      <c r="M237" s="9" t="n"/>
      <c r="N237" s="9" t="n"/>
      <c r="O237" s="9" t="n"/>
      <c r="P237" s="9" t="n"/>
    </row>
    <row r="238">
      <c r="A238" s="9" t="n"/>
      <c r="B238" s="35" t="n"/>
      <c r="C238" s="45" t="n"/>
      <c r="D238" s="45" t="n"/>
      <c r="E238" s="9" t="n"/>
      <c r="F238" s="40" t="n"/>
      <c r="G238" s="9" t="n"/>
      <c r="H238" s="9" t="n"/>
      <c r="I238" s="9" t="n"/>
      <c r="J238" s="9" t="n"/>
      <c r="K238" s="9" t="n"/>
      <c r="L238" s="35" t="n"/>
      <c r="M238" s="9" t="n"/>
      <c r="N238" s="9" t="n"/>
      <c r="O238" s="9" t="n"/>
      <c r="P238" s="9" t="n"/>
    </row>
    <row r="239">
      <c r="A239" s="9" t="n"/>
      <c r="B239" s="35" t="n"/>
      <c r="C239" s="45" t="n"/>
      <c r="D239" s="45" t="n"/>
      <c r="E239" s="9" t="n"/>
      <c r="F239" s="40" t="n"/>
      <c r="G239" s="9" t="n"/>
      <c r="H239" s="9" t="n"/>
      <c r="I239" s="9" t="n"/>
      <c r="J239" s="9" t="n"/>
      <c r="K239" s="9" t="n"/>
      <c r="L239" s="35" t="n"/>
      <c r="M239" s="9" t="n"/>
      <c r="N239" s="9" t="n"/>
      <c r="O239" s="9" t="n"/>
      <c r="P239" s="9" t="n"/>
    </row>
    <row r="240">
      <c r="A240" s="9" t="n"/>
      <c r="B240" s="35" t="n"/>
      <c r="C240" s="45" t="n"/>
      <c r="D240" s="45" t="n"/>
      <c r="E240" s="9" t="n"/>
      <c r="F240" s="40" t="n"/>
      <c r="G240" s="9" t="n"/>
      <c r="H240" s="9" t="n"/>
      <c r="I240" s="9" t="n"/>
      <c r="J240" s="9" t="n"/>
      <c r="K240" s="9" t="n"/>
      <c r="L240" s="35" t="n"/>
      <c r="M240" s="9" t="n"/>
      <c r="N240" s="9" t="n"/>
      <c r="O240" s="9" t="n"/>
      <c r="P240" s="9" t="n"/>
    </row>
    <row r="241">
      <c r="A241" s="9" t="n"/>
      <c r="B241" s="35" t="n"/>
      <c r="C241" s="45" t="n"/>
      <c r="D241" s="45" t="n"/>
      <c r="E241" s="9" t="n"/>
      <c r="F241" s="40" t="n"/>
      <c r="G241" s="9" t="n"/>
      <c r="H241" s="9" t="n"/>
      <c r="I241" s="9" t="n"/>
      <c r="J241" s="9" t="n"/>
      <c r="K241" s="9" t="n"/>
      <c r="L241" s="35" t="n"/>
      <c r="M241" s="9" t="n"/>
      <c r="N241" s="9" t="n"/>
      <c r="O241" s="9" t="n"/>
      <c r="P241" s="9" t="n"/>
    </row>
    <row r="242">
      <c r="A242" s="9" t="n"/>
      <c r="B242" s="35" t="n"/>
      <c r="C242" s="45" t="n"/>
      <c r="D242" s="45" t="n"/>
      <c r="E242" s="9" t="n"/>
      <c r="F242" s="40" t="n"/>
      <c r="G242" s="9" t="n"/>
      <c r="H242" s="9" t="n"/>
      <c r="I242" s="9" t="n"/>
      <c r="J242" s="9" t="n"/>
      <c r="K242" s="9" t="n"/>
      <c r="L242" s="35" t="n"/>
      <c r="M242" s="9" t="n"/>
      <c r="N242" s="9" t="n"/>
      <c r="O242" s="9" t="n"/>
      <c r="P242" s="9" t="n"/>
    </row>
    <row r="243">
      <c r="A243" s="9" t="n"/>
      <c r="B243" s="35" t="n"/>
      <c r="C243" s="45" t="n"/>
      <c r="D243" s="45" t="n"/>
      <c r="E243" s="9" t="n"/>
      <c r="F243" s="40" t="n"/>
      <c r="G243" s="9" t="n"/>
      <c r="H243" s="9" t="n"/>
      <c r="I243" s="9" t="n"/>
      <c r="J243" s="9" t="n"/>
      <c r="K243" s="9" t="n"/>
      <c r="L243" s="35" t="n"/>
      <c r="M243" s="9" t="n"/>
      <c r="N243" s="9" t="n"/>
      <c r="O243" s="9" t="n"/>
      <c r="P243" s="9" t="n"/>
    </row>
    <row r="244">
      <c r="A244" s="9" t="n"/>
      <c r="B244" s="35" t="n"/>
      <c r="C244" s="45" t="n"/>
      <c r="D244" s="45" t="n"/>
      <c r="E244" s="9" t="n"/>
      <c r="F244" s="40" t="n"/>
      <c r="G244" s="9" t="n"/>
      <c r="H244" s="9" t="n"/>
      <c r="I244" s="9" t="n"/>
      <c r="J244" s="9" t="n"/>
      <c r="K244" s="9" t="n"/>
      <c r="L244" s="35" t="n"/>
      <c r="M244" s="9" t="n"/>
      <c r="N244" s="9" t="n"/>
      <c r="O244" s="9" t="n"/>
      <c r="P244" s="9" t="n"/>
    </row>
    <row r="245">
      <c r="A245" s="9" t="n"/>
      <c r="B245" s="35" t="n"/>
      <c r="C245" s="45" t="n"/>
      <c r="D245" s="45" t="n"/>
      <c r="E245" s="9" t="n"/>
      <c r="F245" s="40" t="n"/>
      <c r="G245" s="9" t="n"/>
      <c r="H245" s="9" t="n"/>
      <c r="I245" s="9" t="n"/>
      <c r="J245" s="9" t="n"/>
      <c r="K245" s="9" t="n"/>
      <c r="L245" s="35" t="n"/>
      <c r="M245" s="9" t="n"/>
      <c r="N245" s="9" t="n"/>
      <c r="O245" s="9" t="n"/>
      <c r="P245" s="9" t="n"/>
    </row>
    <row r="246">
      <c r="A246" s="9" t="n"/>
      <c r="B246" s="35" t="n"/>
      <c r="C246" s="45" t="n"/>
      <c r="D246" s="45" t="n"/>
      <c r="E246" s="9" t="n"/>
      <c r="F246" s="40" t="n"/>
      <c r="G246" s="9" t="n"/>
      <c r="H246" s="9" t="n"/>
      <c r="I246" s="9" t="n"/>
      <c r="J246" s="9" t="n"/>
      <c r="K246" s="9" t="n"/>
      <c r="L246" s="35" t="n"/>
      <c r="M246" s="9" t="n"/>
      <c r="N246" s="9" t="n"/>
      <c r="O246" s="9" t="n"/>
      <c r="P246" s="9" t="n"/>
    </row>
    <row r="247">
      <c r="A247" s="9" t="n"/>
      <c r="B247" s="35" t="n"/>
      <c r="C247" s="45" t="n"/>
      <c r="D247" s="45" t="n"/>
      <c r="E247" s="9" t="n"/>
      <c r="F247" s="40" t="n"/>
      <c r="G247" s="9" t="n"/>
      <c r="H247" s="9" t="n"/>
      <c r="I247" s="9" t="n"/>
      <c r="J247" s="9" t="n"/>
      <c r="K247" s="9" t="n"/>
      <c r="L247" s="35" t="n"/>
      <c r="M247" s="9" t="n"/>
      <c r="N247" s="9" t="n"/>
      <c r="O247" s="9" t="n"/>
      <c r="P247" s="9" t="n"/>
    </row>
    <row r="248">
      <c r="A248" s="9" t="n"/>
      <c r="B248" s="35" t="n"/>
      <c r="C248" s="45" t="n"/>
      <c r="D248" s="45" t="n"/>
      <c r="E248" s="9" t="n"/>
      <c r="F248" s="40" t="n"/>
      <c r="G248" s="9" t="n"/>
      <c r="H248" s="9" t="n"/>
      <c r="I248" s="9" t="n"/>
      <c r="J248" s="9" t="n"/>
      <c r="K248" s="9" t="n"/>
      <c r="L248" s="35" t="n"/>
      <c r="M248" s="9" t="n"/>
      <c r="N248" s="9" t="n"/>
      <c r="O248" s="9" t="n"/>
      <c r="P248" s="9" t="n"/>
    </row>
    <row r="249">
      <c r="A249" s="9" t="n"/>
      <c r="B249" s="35" t="n"/>
      <c r="C249" s="45" t="n"/>
      <c r="D249" s="45" t="n"/>
      <c r="E249" s="9" t="n"/>
      <c r="F249" s="40" t="n"/>
      <c r="G249" s="9" t="n"/>
      <c r="H249" s="9" t="n"/>
      <c r="I249" s="9" t="n"/>
      <c r="J249" s="9" t="n"/>
      <c r="K249" s="9" t="n"/>
      <c r="L249" s="35" t="n"/>
      <c r="M249" s="9" t="n"/>
      <c r="N249" s="9" t="n"/>
      <c r="O249" s="9" t="n"/>
      <c r="P249" s="9" t="n"/>
    </row>
    <row r="250">
      <c r="A250" s="9" t="n"/>
      <c r="B250" s="35" t="n"/>
      <c r="C250" s="45" t="n"/>
      <c r="D250" s="45" t="n"/>
      <c r="E250" s="9" t="n"/>
      <c r="F250" s="40" t="n"/>
      <c r="G250" s="9" t="n"/>
      <c r="H250" s="9" t="n"/>
      <c r="I250" s="9" t="n"/>
      <c r="J250" s="9" t="n"/>
      <c r="K250" s="9" t="n"/>
      <c r="L250" s="35" t="n"/>
      <c r="M250" s="9" t="n"/>
      <c r="N250" s="9" t="n"/>
      <c r="O250" s="9" t="n"/>
      <c r="P250" s="9" t="n"/>
    </row>
    <row r="251">
      <c r="A251" s="9" t="n"/>
      <c r="B251" s="35" t="n"/>
      <c r="C251" s="45" t="n"/>
      <c r="D251" s="45" t="n"/>
      <c r="E251" s="9" t="n"/>
      <c r="F251" s="40" t="n"/>
      <c r="G251" s="9" t="n"/>
      <c r="H251" s="9" t="n"/>
      <c r="I251" s="9" t="n"/>
      <c r="J251" s="9" t="n"/>
      <c r="K251" s="9" t="n"/>
      <c r="L251" s="35" t="n"/>
      <c r="M251" s="9" t="n"/>
      <c r="N251" s="9" t="n"/>
      <c r="O251" s="9" t="n"/>
      <c r="P251" s="9" t="n"/>
    </row>
    <row r="252">
      <c r="A252" s="9" t="n"/>
      <c r="B252" s="35" t="n"/>
      <c r="C252" s="45" t="n"/>
      <c r="D252" s="45" t="n"/>
      <c r="E252" s="9" t="n"/>
      <c r="F252" s="40" t="n"/>
      <c r="G252" s="9" t="n"/>
      <c r="H252" s="9" t="n"/>
      <c r="I252" s="9" t="n"/>
      <c r="J252" s="9" t="n"/>
      <c r="K252" s="9" t="n"/>
      <c r="L252" s="35" t="n"/>
      <c r="M252" s="9" t="n"/>
      <c r="N252" s="9" t="n"/>
      <c r="O252" s="9" t="n"/>
      <c r="P252" s="9" t="n"/>
    </row>
    <row r="253">
      <c r="A253" s="9" t="n"/>
      <c r="B253" s="35" t="n"/>
      <c r="C253" s="45" t="n"/>
      <c r="D253" s="45" t="n"/>
      <c r="E253" s="9" t="n"/>
      <c r="F253" s="40" t="n"/>
      <c r="G253" s="9" t="n"/>
      <c r="H253" s="9" t="n"/>
      <c r="I253" s="9" t="n"/>
      <c r="J253" s="9" t="n"/>
      <c r="K253" s="9" t="n"/>
      <c r="L253" s="35" t="n"/>
      <c r="M253" s="9" t="n"/>
      <c r="N253" s="9" t="n"/>
      <c r="O253" s="9" t="n"/>
      <c r="P253" s="9" t="n"/>
    </row>
    <row r="254">
      <c r="A254" s="9" t="n"/>
      <c r="B254" s="35" t="n"/>
      <c r="C254" s="45" t="n"/>
      <c r="D254" s="45" t="n"/>
      <c r="E254" s="9" t="n"/>
      <c r="F254" s="40" t="n"/>
      <c r="G254" s="9" t="n"/>
      <c r="H254" s="9" t="n"/>
      <c r="I254" s="9" t="n"/>
      <c r="J254" s="9" t="n"/>
      <c r="K254" s="9" t="n"/>
      <c r="L254" s="35" t="n"/>
      <c r="M254" s="9" t="n"/>
      <c r="N254" s="9" t="n"/>
      <c r="O254" s="9" t="n"/>
      <c r="P254" s="9" t="n"/>
    </row>
    <row r="255">
      <c r="A255" s="9" t="n"/>
      <c r="B255" s="35" t="n"/>
      <c r="C255" s="45" t="n"/>
      <c r="D255" s="45" t="n"/>
      <c r="E255" s="9" t="n"/>
      <c r="F255" s="40" t="n"/>
      <c r="G255" s="9" t="n"/>
      <c r="H255" s="9" t="n"/>
      <c r="I255" s="9" t="n"/>
      <c r="J255" s="9" t="n"/>
      <c r="K255" s="9" t="n"/>
      <c r="L255" s="35" t="n"/>
      <c r="M255" s="9" t="n"/>
      <c r="N255" s="9" t="n"/>
      <c r="O255" s="9" t="n"/>
      <c r="P255" s="9" t="n"/>
    </row>
    <row r="256">
      <c r="A256" s="9" t="n"/>
      <c r="B256" s="35" t="n"/>
      <c r="C256" s="45" t="n"/>
      <c r="D256" s="45" t="n"/>
      <c r="E256" s="9" t="n"/>
      <c r="F256" s="40" t="n"/>
      <c r="G256" s="9" t="n"/>
      <c r="H256" s="9" t="n"/>
      <c r="I256" s="9" t="n"/>
      <c r="J256" s="9" t="n"/>
      <c r="K256" s="9" t="n"/>
      <c r="L256" s="35" t="n"/>
      <c r="M256" s="9" t="n"/>
      <c r="N256" s="9" t="n"/>
      <c r="O256" s="9" t="n"/>
      <c r="P256" s="9" t="n"/>
    </row>
    <row r="257">
      <c r="A257" s="9" t="n"/>
      <c r="B257" s="35" t="n"/>
      <c r="C257" s="45" t="n"/>
      <c r="D257" s="45" t="n"/>
      <c r="E257" s="9" t="n"/>
      <c r="F257" s="40" t="n"/>
      <c r="G257" s="9" t="n"/>
      <c r="H257" s="9" t="n"/>
      <c r="I257" s="9" t="n"/>
      <c r="J257" s="9" t="n"/>
      <c r="K257" s="9" t="n"/>
      <c r="L257" s="35" t="n"/>
      <c r="M257" s="9" t="n"/>
      <c r="N257" s="9" t="n"/>
      <c r="O257" s="9" t="n"/>
      <c r="P257" s="9" t="n"/>
    </row>
    <row r="258">
      <c r="A258" s="9" t="n"/>
      <c r="B258" s="35" t="n"/>
      <c r="C258" s="45" t="n"/>
      <c r="D258" s="45" t="n"/>
      <c r="E258" s="9" t="n"/>
      <c r="F258" s="40" t="n"/>
      <c r="G258" s="9" t="n"/>
      <c r="H258" s="9" t="n"/>
      <c r="I258" s="9" t="n"/>
      <c r="J258" s="9" t="n"/>
      <c r="K258" s="9" t="n"/>
      <c r="L258" s="35" t="n"/>
      <c r="M258" s="9" t="n"/>
      <c r="N258" s="9" t="n"/>
      <c r="O258" s="9" t="n"/>
      <c r="P258" s="9" t="n"/>
    </row>
    <row r="259">
      <c r="A259" s="9" t="n"/>
      <c r="B259" s="35" t="n"/>
      <c r="C259" s="45" t="n"/>
      <c r="D259" s="45" t="n"/>
      <c r="E259" s="9" t="n"/>
      <c r="F259" s="40" t="n"/>
      <c r="G259" s="9" t="n"/>
      <c r="H259" s="9" t="n"/>
      <c r="I259" s="9" t="n"/>
      <c r="J259" s="9" t="n"/>
      <c r="K259" s="9" t="n"/>
      <c r="L259" s="35" t="n"/>
      <c r="M259" s="9" t="n"/>
      <c r="N259" s="9" t="n"/>
      <c r="O259" s="9" t="n"/>
      <c r="P259" s="9" t="n"/>
    </row>
    <row r="260">
      <c r="A260" s="9" t="n"/>
      <c r="B260" s="35" t="n"/>
      <c r="C260" s="45" t="n"/>
      <c r="D260" s="45" t="n"/>
      <c r="E260" s="9" t="n"/>
      <c r="F260" s="40" t="n"/>
      <c r="G260" s="9" t="n"/>
      <c r="H260" s="9" t="n"/>
      <c r="I260" s="9" t="n"/>
      <c r="J260" s="9" t="n"/>
      <c r="K260" s="9" t="n"/>
      <c r="L260" s="35" t="n"/>
      <c r="M260" s="9" t="n"/>
      <c r="N260" s="9" t="n"/>
      <c r="O260" s="9" t="n"/>
      <c r="P260" s="9" t="n"/>
    </row>
    <row r="261">
      <c r="A261" s="9" t="n"/>
      <c r="B261" s="35" t="n"/>
      <c r="C261" s="45" t="n"/>
      <c r="D261" s="45" t="n"/>
      <c r="E261" s="9" t="n"/>
      <c r="F261" s="40" t="n"/>
      <c r="G261" s="9" t="n"/>
      <c r="H261" s="9" t="n"/>
      <c r="I261" s="9" t="n"/>
      <c r="J261" s="9" t="n"/>
      <c r="K261" s="9" t="n"/>
      <c r="L261" s="35" t="n"/>
      <c r="M261" s="9" t="n"/>
      <c r="N261" s="9" t="n"/>
      <c r="O261" s="9" t="n"/>
      <c r="P261" s="9" t="n"/>
    </row>
    <row r="262">
      <c r="A262" s="9" t="n"/>
      <c r="B262" s="35" t="n"/>
      <c r="C262" s="45" t="n"/>
      <c r="D262" s="45" t="n"/>
      <c r="E262" s="9" t="n"/>
      <c r="F262" s="40" t="n"/>
      <c r="G262" s="9" t="n"/>
      <c r="H262" s="9" t="n"/>
      <c r="I262" s="9" t="n"/>
      <c r="J262" s="9" t="n"/>
      <c r="K262" s="9" t="n"/>
      <c r="L262" s="35" t="n"/>
      <c r="M262" s="9" t="n"/>
      <c r="N262" s="9" t="n"/>
      <c r="O262" s="9" t="n"/>
      <c r="P262" s="9" t="n"/>
    </row>
    <row r="263">
      <c r="A263" s="9" t="n"/>
      <c r="B263" s="35" t="n"/>
      <c r="C263" s="45" t="n"/>
      <c r="D263" s="45" t="n"/>
      <c r="E263" s="9" t="n"/>
      <c r="F263" s="40" t="n"/>
      <c r="G263" s="9" t="n"/>
      <c r="H263" s="9" t="n"/>
      <c r="I263" s="9" t="n"/>
      <c r="J263" s="9" t="n"/>
      <c r="K263" s="9" t="n"/>
      <c r="L263" s="35" t="n"/>
      <c r="M263" s="9" t="n"/>
      <c r="N263" s="9" t="n"/>
      <c r="O263" s="9" t="n"/>
      <c r="P263" s="9" t="n"/>
    </row>
    <row r="264">
      <c r="A264" s="9" t="n"/>
      <c r="B264" s="35" t="n"/>
      <c r="C264" s="45" t="n"/>
      <c r="D264" s="45" t="n"/>
      <c r="E264" s="9" t="n"/>
      <c r="F264" s="40" t="n"/>
      <c r="G264" s="9" t="n"/>
      <c r="H264" s="9" t="n"/>
      <c r="I264" s="9" t="n"/>
      <c r="J264" s="9" t="n"/>
      <c r="K264" s="9" t="n"/>
      <c r="L264" s="35" t="n"/>
      <c r="M264" s="9" t="n"/>
      <c r="N264" s="9" t="n"/>
      <c r="O264" s="9" t="n"/>
      <c r="P264" s="9" t="n"/>
    </row>
    <row r="265">
      <c r="A265" s="9" t="n"/>
      <c r="B265" s="35" t="n"/>
      <c r="C265" s="45" t="n"/>
      <c r="D265" s="45" t="n"/>
      <c r="E265" s="9" t="n"/>
      <c r="F265" s="40" t="n"/>
      <c r="G265" s="9" t="n"/>
      <c r="H265" s="9" t="n"/>
      <c r="I265" s="9" t="n"/>
      <c r="J265" s="9" t="n"/>
      <c r="K265" s="9" t="n"/>
      <c r="L265" s="35" t="n"/>
      <c r="M265" s="9" t="n"/>
      <c r="N265" s="9" t="n"/>
      <c r="O265" s="9" t="n"/>
      <c r="P265" s="9" t="n"/>
    </row>
    <row r="266">
      <c r="A266" s="9" t="n"/>
      <c r="B266" s="35" t="n"/>
      <c r="C266" s="45" t="n"/>
      <c r="D266" s="45" t="n"/>
      <c r="E266" s="9" t="n"/>
      <c r="F266" s="40" t="n"/>
      <c r="G266" s="9" t="n"/>
      <c r="H266" s="9" t="n"/>
      <c r="I266" s="9" t="n"/>
      <c r="J266" s="9" t="n"/>
      <c r="K266" s="9" t="n"/>
      <c r="L266" s="35" t="n"/>
      <c r="M266" s="9" t="n"/>
      <c r="N266" s="9" t="n"/>
      <c r="O266" s="9" t="n"/>
      <c r="P266" s="9" t="n"/>
    </row>
    <row r="267">
      <c r="A267" s="9" t="n"/>
      <c r="B267" s="35" t="n"/>
      <c r="C267" s="45" t="n"/>
      <c r="D267" s="45" t="n"/>
      <c r="E267" s="9" t="n"/>
      <c r="F267" s="40" t="n"/>
      <c r="G267" s="9" t="n"/>
      <c r="H267" s="9" t="n"/>
      <c r="I267" s="9" t="n"/>
      <c r="J267" s="9" t="n"/>
      <c r="K267" s="9" t="n"/>
      <c r="L267" s="35" t="n"/>
      <c r="M267" s="9" t="n"/>
      <c r="N267" s="9" t="n"/>
      <c r="O267" s="9" t="n"/>
      <c r="P267" s="9" t="n"/>
    </row>
    <row r="268">
      <c r="A268" s="9" t="n"/>
      <c r="B268" s="35" t="n"/>
      <c r="C268" s="45" t="n"/>
      <c r="D268" s="45" t="n"/>
      <c r="E268" s="9" t="n"/>
      <c r="F268" s="40" t="n"/>
      <c r="G268" s="9" t="n"/>
      <c r="H268" s="9" t="n"/>
      <c r="I268" s="9" t="n"/>
      <c r="J268" s="9" t="n"/>
      <c r="K268" s="9" t="n"/>
      <c r="L268" s="35" t="n"/>
      <c r="M268" s="9" t="n"/>
      <c r="N268" s="9" t="n"/>
      <c r="O268" s="9" t="n"/>
      <c r="P268" s="9" t="n"/>
    </row>
    <row r="269">
      <c r="A269" s="9" t="n"/>
      <c r="B269" s="35" t="n"/>
      <c r="C269" s="45" t="n"/>
      <c r="D269" s="45" t="n"/>
      <c r="E269" s="9" t="n"/>
      <c r="F269" s="40" t="n"/>
      <c r="G269" s="9" t="n"/>
      <c r="H269" s="9" t="n"/>
      <c r="I269" s="9" t="n"/>
      <c r="J269" s="9" t="n"/>
      <c r="K269" s="9" t="n"/>
      <c r="L269" s="35" t="n"/>
      <c r="M269" s="9" t="n"/>
      <c r="N269" s="9" t="n"/>
      <c r="O269" s="9" t="n"/>
      <c r="P269" s="9" t="n"/>
    </row>
    <row r="270">
      <c r="A270" s="9" t="n"/>
      <c r="B270" s="35" t="n"/>
      <c r="C270" s="45" t="n"/>
      <c r="D270" s="45" t="n"/>
      <c r="E270" s="9" t="n"/>
      <c r="F270" s="40" t="n"/>
      <c r="G270" s="9" t="n"/>
      <c r="H270" s="9" t="n"/>
      <c r="I270" s="9" t="n"/>
      <c r="J270" s="9" t="n"/>
      <c r="K270" s="9" t="n"/>
      <c r="L270" s="35" t="n"/>
      <c r="M270" s="9" t="n"/>
      <c r="N270" s="9" t="n"/>
      <c r="O270" s="9" t="n"/>
      <c r="P270" s="9" t="n"/>
    </row>
    <row r="271">
      <c r="A271" s="9" t="n"/>
      <c r="B271" s="35" t="n"/>
      <c r="C271" s="45" t="n"/>
      <c r="D271" s="45" t="n"/>
      <c r="E271" s="9" t="n"/>
      <c r="F271" s="40" t="n"/>
      <c r="G271" s="9" t="n"/>
      <c r="H271" s="9" t="n"/>
      <c r="I271" s="9" t="n"/>
      <c r="J271" s="9" t="n"/>
      <c r="K271" s="9" t="n"/>
      <c r="L271" s="35" t="n"/>
      <c r="M271" s="9" t="n"/>
      <c r="N271" s="9" t="n"/>
      <c r="O271" s="9" t="n"/>
      <c r="P271" s="9" t="n"/>
    </row>
    <row r="272">
      <c r="A272" s="9" t="n"/>
      <c r="B272" s="35" t="n"/>
      <c r="C272" s="45" t="n"/>
      <c r="D272" s="45" t="n"/>
      <c r="E272" s="9" t="n"/>
      <c r="F272" s="40" t="n"/>
      <c r="G272" s="9" t="n"/>
      <c r="H272" s="9" t="n"/>
      <c r="I272" s="9" t="n"/>
      <c r="J272" s="9" t="n"/>
      <c r="K272" s="9" t="n"/>
      <c r="L272" s="35" t="n"/>
      <c r="M272" s="9" t="n"/>
      <c r="N272" s="9" t="n"/>
      <c r="O272" s="9" t="n"/>
      <c r="P272" s="9" t="n"/>
    </row>
    <row r="273">
      <c r="A273" s="9" t="n"/>
      <c r="B273" s="35" t="n"/>
      <c r="C273" s="45" t="n"/>
      <c r="D273" s="45" t="n"/>
      <c r="E273" s="9" t="n"/>
      <c r="F273" s="40" t="n"/>
      <c r="G273" s="9" t="n"/>
      <c r="H273" s="9" t="n"/>
      <c r="I273" s="9" t="n"/>
      <c r="J273" s="9" t="n"/>
      <c r="K273" s="9" t="n"/>
      <c r="L273" s="35" t="n"/>
      <c r="M273" s="9" t="n"/>
      <c r="N273" s="9" t="n"/>
      <c r="O273" s="9" t="n"/>
      <c r="P273" s="9" t="n"/>
    </row>
    <row r="274">
      <c r="A274" s="9" t="n"/>
      <c r="B274" s="35" t="n"/>
      <c r="C274" s="45" t="n"/>
      <c r="D274" s="45" t="n"/>
      <c r="E274" s="9" t="n"/>
      <c r="F274" s="40" t="n"/>
      <c r="G274" s="9" t="n"/>
      <c r="H274" s="9" t="n"/>
      <c r="I274" s="9" t="n"/>
      <c r="J274" s="9" t="n"/>
      <c r="K274" s="9" t="n"/>
      <c r="L274" s="35" t="n"/>
      <c r="M274" s="9" t="n"/>
      <c r="N274" s="9" t="n"/>
      <c r="O274" s="9" t="n"/>
      <c r="P274" s="9" t="n"/>
    </row>
    <row r="275">
      <c r="A275" s="9" t="n"/>
      <c r="B275" s="35" t="n"/>
      <c r="C275" s="45" t="n"/>
      <c r="D275" s="45" t="n"/>
      <c r="E275" s="9" t="n"/>
      <c r="F275" s="40" t="n"/>
      <c r="G275" s="9" t="n"/>
      <c r="H275" s="9" t="n"/>
      <c r="I275" s="9" t="n"/>
      <c r="J275" s="9" t="n"/>
      <c r="K275" s="9" t="n"/>
      <c r="L275" s="35" t="n"/>
      <c r="M275" s="9" t="n"/>
      <c r="N275" s="9" t="n"/>
      <c r="O275" s="9" t="n"/>
      <c r="P275" s="9" t="n"/>
    </row>
    <row r="276">
      <c r="A276" s="9" t="n"/>
      <c r="B276" s="35" t="n"/>
      <c r="C276" s="45" t="n"/>
      <c r="D276" s="45" t="n"/>
      <c r="E276" s="9" t="n"/>
      <c r="F276" s="40" t="n"/>
      <c r="G276" s="9" t="n"/>
      <c r="H276" s="9" t="n"/>
      <c r="I276" s="9" t="n"/>
      <c r="J276" s="9" t="n"/>
      <c r="K276" s="9" t="n"/>
      <c r="L276" s="35" t="n"/>
      <c r="M276" s="9" t="n"/>
      <c r="N276" s="9" t="n"/>
      <c r="O276" s="9" t="n"/>
      <c r="P276" s="9" t="n"/>
    </row>
    <row r="277">
      <c r="A277" s="9" t="n"/>
      <c r="B277" s="35" t="n"/>
      <c r="C277" s="45" t="n"/>
      <c r="D277" s="45" t="n"/>
      <c r="E277" s="9" t="n"/>
      <c r="F277" s="40" t="n"/>
      <c r="G277" s="9" t="n"/>
      <c r="H277" s="9" t="n"/>
      <c r="I277" s="9" t="n"/>
      <c r="J277" s="9" t="n"/>
      <c r="K277" s="9" t="n"/>
      <c r="L277" s="35" t="n"/>
      <c r="M277" s="9" t="n"/>
      <c r="N277" s="9" t="n"/>
      <c r="O277" s="9" t="n"/>
      <c r="P277" s="9" t="n"/>
    </row>
    <row r="278">
      <c r="A278" s="9" t="n"/>
      <c r="B278" s="35" t="n"/>
      <c r="C278" s="45" t="n"/>
      <c r="D278" s="45" t="n"/>
      <c r="E278" s="9" t="n"/>
      <c r="F278" s="40" t="n"/>
      <c r="G278" s="9" t="n"/>
      <c r="H278" s="9" t="n"/>
      <c r="I278" s="9" t="n"/>
      <c r="J278" s="9" t="n"/>
      <c r="K278" s="9" t="n"/>
      <c r="L278" s="35" t="n"/>
      <c r="M278" s="9" t="n"/>
      <c r="N278" s="9" t="n"/>
      <c r="O278" s="9" t="n"/>
      <c r="P278" s="9" t="n"/>
    </row>
    <row r="279">
      <c r="A279" s="9" t="n"/>
      <c r="B279" s="35" t="n"/>
      <c r="C279" s="45" t="n"/>
      <c r="D279" s="45" t="n"/>
      <c r="E279" s="9" t="n"/>
      <c r="F279" s="40" t="n"/>
      <c r="G279" s="9" t="n"/>
      <c r="H279" s="9" t="n"/>
      <c r="I279" s="9" t="n"/>
      <c r="J279" s="9" t="n"/>
      <c r="K279" s="9" t="n"/>
      <c r="L279" s="35" t="n"/>
      <c r="M279" s="9" t="n"/>
      <c r="N279" s="9" t="n"/>
      <c r="O279" s="9" t="n"/>
      <c r="P279" s="9" t="n"/>
    </row>
    <row r="280">
      <c r="A280" s="9" t="n"/>
      <c r="B280" s="35" t="n"/>
      <c r="C280" s="45" t="n"/>
      <c r="D280" s="45" t="n"/>
      <c r="E280" s="9" t="n"/>
      <c r="F280" s="40" t="n"/>
      <c r="G280" s="9" t="n"/>
      <c r="H280" s="9" t="n"/>
      <c r="I280" s="9" t="n"/>
      <c r="J280" s="9" t="n"/>
      <c r="K280" s="9" t="n"/>
      <c r="L280" s="35" t="n"/>
      <c r="M280" s="9" t="n"/>
      <c r="N280" s="9" t="n"/>
      <c r="O280" s="9" t="n"/>
      <c r="P280" s="9" t="n"/>
    </row>
    <row r="281">
      <c r="A281" s="9" t="n"/>
      <c r="B281" s="35" t="n"/>
      <c r="C281" s="45" t="n"/>
      <c r="D281" s="45" t="n"/>
      <c r="E281" s="9" t="n"/>
      <c r="F281" s="40" t="n"/>
      <c r="G281" s="9" t="n"/>
      <c r="H281" s="9" t="n"/>
      <c r="I281" s="9" t="n"/>
      <c r="J281" s="9" t="n"/>
      <c r="K281" s="9" t="n"/>
      <c r="L281" s="35" t="n"/>
      <c r="M281" s="9" t="n"/>
      <c r="N281" s="9" t="n"/>
      <c r="O281" s="9" t="n"/>
      <c r="P281" s="9" t="n"/>
    </row>
    <row r="282">
      <c r="A282" s="9" t="n"/>
      <c r="B282" s="35" t="n"/>
      <c r="C282" s="45" t="n"/>
      <c r="D282" s="45" t="n"/>
      <c r="E282" s="9" t="n"/>
      <c r="F282" s="40" t="n"/>
      <c r="G282" s="9" t="n"/>
      <c r="H282" s="9" t="n"/>
      <c r="I282" s="9" t="n"/>
      <c r="J282" s="9" t="n"/>
      <c r="K282" s="9" t="n"/>
      <c r="L282" s="35" t="n"/>
      <c r="M282" s="9" t="n"/>
      <c r="N282" s="9" t="n"/>
      <c r="O282" s="9" t="n"/>
      <c r="P282" s="9" t="n"/>
    </row>
    <row r="283">
      <c r="A283" s="9" t="n"/>
      <c r="B283" s="35" t="n"/>
      <c r="C283" s="45" t="n"/>
      <c r="D283" s="45" t="n"/>
      <c r="E283" s="9" t="n"/>
      <c r="F283" s="40" t="n"/>
      <c r="G283" s="9" t="n"/>
      <c r="H283" s="9" t="n"/>
      <c r="I283" s="9" t="n"/>
      <c r="J283" s="9" t="n"/>
      <c r="K283" s="9" t="n"/>
      <c r="L283" s="35" t="n"/>
      <c r="M283" s="9" t="n"/>
      <c r="N283" s="9" t="n"/>
      <c r="O283" s="9" t="n"/>
      <c r="P283" s="9" t="n"/>
    </row>
    <row r="284">
      <c r="A284" s="9" t="n"/>
      <c r="B284" s="35" t="n"/>
      <c r="C284" s="45" t="n"/>
      <c r="D284" s="45" t="n"/>
      <c r="E284" s="9" t="n"/>
      <c r="F284" s="40" t="n"/>
      <c r="G284" s="9" t="n"/>
      <c r="H284" s="9" t="n"/>
      <c r="I284" s="9" t="n"/>
      <c r="J284" s="9" t="n"/>
      <c r="K284" s="9" t="n"/>
      <c r="L284" s="35" t="n"/>
      <c r="M284" s="9" t="n"/>
      <c r="N284" s="9" t="n"/>
      <c r="O284" s="9" t="n"/>
      <c r="P284" s="9" t="n"/>
    </row>
    <row r="285">
      <c r="A285" s="9" t="n"/>
      <c r="B285" s="35" t="n"/>
      <c r="C285" s="45" t="n"/>
      <c r="D285" s="45" t="n"/>
      <c r="E285" s="9" t="n"/>
      <c r="F285" s="40" t="n"/>
      <c r="G285" s="9" t="n"/>
      <c r="H285" s="9" t="n"/>
      <c r="I285" s="9" t="n"/>
      <c r="J285" s="9" t="n"/>
      <c r="K285" s="9" t="n"/>
      <c r="L285" s="35" t="n"/>
      <c r="M285" s="9" t="n"/>
      <c r="N285" s="9" t="n"/>
      <c r="O285" s="9" t="n"/>
      <c r="P285" s="9" t="n"/>
    </row>
    <row r="286">
      <c r="A286" s="9" t="n"/>
      <c r="B286" s="35" t="n"/>
      <c r="C286" s="45" t="n"/>
      <c r="D286" s="45" t="n"/>
      <c r="E286" s="9" t="n"/>
      <c r="F286" s="40" t="n"/>
      <c r="G286" s="9" t="n"/>
      <c r="H286" s="9" t="n"/>
      <c r="I286" s="9" t="n"/>
      <c r="J286" s="9" t="n"/>
      <c r="K286" s="9" t="n"/>
      <c r="L286" s="35" t="n"/>
      <c r="M286" s="9" t="n"/>
      <c r="N286" s="9" t="n"/>
      <c r="O286" s="9" t="n"/>
      <c r="P286" s="9" t="n"/>
    </row>
    <row r="287">
      <c r="A287" s="9" t="n"/>
      <c r="B287" s="35" t="n"/>
      <c r="C287" s="45" t="n"/>
      <c r="D287" s="45" t="n"/>
      <c r="E287" s="9" t="n"/>
      <c r="F287" s="40" t="n"/>
      <c r="G287" s="9" t="n"/>
      <c r="H287" s="9" t="n"/>
      <c r="I287" s="9" t="n"/>
      <c r="J287" s="9" t="n"/>
      <c r="K287" s="9" t="n"/>
      <c r="L287" s="35" t="n"/>
      <c r="M287" s="9" t="n"/>
      <c r="N287" s="9" t="n"/>
      <c r="O287" s="9" t="n"/>
      <c r="P287" s="9" t="n"/>
    </row>
    <row r="288">
      <c r="A288" s="9" t="n"/>
      <c r="B288" s="35" t="n"/>
      <c r="C288" s="45" t="n"/>
      <c r="D288" s="45" t="n"/>
      <c r="E288" s="9" t="n"/>
      <c r="F288" s="40" t="n"/>
      <c r="G288" s="9" t="n"/>
      <c r="H288" s="9" t="n"/>
      <c r="I288" s="9" t="n"/>
      <c r="J288" s="9" t="n"/>
      <c r="K288" s="9" t="n"/>
      <c r="L288" s="35" t="n"/>
      <c r="M288" s="9" t="n"/>
      <c r="N288" s="9" t="n"/>
      <c r="O288" s="9" t="n"/>
      <c r="P288" s="9" t="n"/>
    </row>
    <row r="289">
      <c r="A289" s="9" t="n"/>
      <c r="B289" s="35" t="n"/>
      <c r="C289" s="45" t="n"/>
      <c r="D289" s="45" t="n"/>
      <c r="E289" s="9" t="n"/>
      <c r="F289" s="40" t="n"/>
      <c r="G289" s="9" t="n"/>
      <c r="H289" s="9" t="n"/>
      <c r="I289" s="9" t="n"/>
      <c r="J289" s="9" t="n"/>
      <c r="K289" s="9" t="n"/>
      <c r="L289" s="35" t="n"/>
      <c r="M289" s="9" t="n"/>
      <c r="N289" s="9" t="n"/>
      <c r="O289" s="9" t="n"/>
      <c r="P289" s="9" t="n"/>
    </row>
    <row r="290">
      <c r="A290" s="9" t="n"/>
      <c r="B290" s="35" t="n"/>
      <c r="C290" s="45" t="n"/>
      <c r="D290" s="45" t="n"/>
      <c r="E290" s="9" t="n"/>
      <c r="F290" s="40" t="n"/>
      <c r="G290" s="9" t="n"/>
      <c r="H290" s="9" t="n"/>
      <c r="I290" s="9" t="n"/>
      <c r="J290" s="9" t="n"/>
      <c r="K290" s="9" t="n"/>
      <c r="L290" s="35" t="n"/>
      <c r="M290" s="9" t="n"/>
      <c r="N290" s="9" t="n"/>
      <c r="O290" s="9" t="n"/>
      <c r="P290" s="9" t="n"/>
    </row>
    <row r="291">
      <c r="A291" s="9" t="n"/>
      <c r="B291" s="35" t="n"/>
      <c r="C291" s="45" t="n"/>
      <c r="D291" s="45" t="n"/>
      <c r="E291" s="9" t="n"/>
      <c r="F291" s="40" t="n"/>
      <c r="G291" s="9" t="n"/>
      <c r="H291" s="9" t="n"/>
      <c r="I291" s="9" t="n"/>
      <c r="J291" s="9" t="n"/>
      <c r="K291" s="9" t="n"/>
      <c r="L291" s="35" t="n"/>
      <c r="M291" s="9" t="n"/>
      <c r="N291" s="9" t="n"/>
      <c r="O291" s="9" t="n"/>
      <c r="P291" s="9" t="n"/>
    </row>
    <row r="292">
      <c r="A292" s="9" t="n"/>
      <c r="B292" s="35" t="n"/>
      <c r="C292" s="45" t="n"/>
      <c r="D292" s="45" t="n"/>
      <c r="E292" s="9" t="n"/>
      <c r="F292" s="40" t="n"/>
      <c r="G292" s="9" t="n"/>
      <c r="H292" s="9" t="n"/>
      <c r="I292" s="9" t="n"/>
      <c r="J292" s="9" t="n"/>
      <c r="K292" s="9" t="n"/>
      <c r="L292" s="35" t="n"/>
      <c r="M292" s="9" t="n"/>
      <c r="N292" s="9" t="n"/>
      <c r="O292" s="9" t="n"/>
      <c r="P292" s="9" t="n"/>
    </row>
    <row r="293">
      <c r="A293" s="9" t="n"/>
      <c r="B293" s="35" t="n"/>
      <c r="C293" s="45" t="n"/>
      <c r="D293" s="45" t="n"/>
      <c r="E293" s="9" t="n"/>
      <c r="F293" s="40" t="n"/>
      <c r="G293" s="9" t="n"/>
      <c r="H293" s="9" t="n"/>
      <c r="I293" s="9" t="n"/>
      <c r="J293" s="9" t="n"/>
      <c r="K293" s="9" t="n"/>
      <c r="L293" s="35" t="n"/>
      <c r="M293" s="9" t="n"/>
      <c r="N293" s="9" t="n"/>
      <c r="O293" s="9" t="n"/>
      <c r="P293" s="9" t="n"/>
    </row>
    <row r="294">
      <c r="A294" s="9" t="n"/>
      <c r="B294" s="35" t="n"/>
      <c r="C294" s="45" t="n"/>
      <c r="D294" s="45" t="n"/>
      <c r="E294" s="9" t="n"/>
      <c r="F294" s="40" t="n"/>
      <c r="G294" s="9" t="n"/>
      <c r="H294" s="9" t="n"/>
      <c r="I294" s="9" t="n"/>
      <c r="J294" s="9" t="n"/>
      <c r="K294" s="9" t="n"/>
      <c r="L294" s="35" t="n"/>
      <c r="M294" s="9" t="n"/>
      <c r="N294" s="9" t="n"/>
      <c r="O294" s="9" t="n"/>
      <c r="P294" s="9" t="n"/>
    </row>
    <row r="295">
      <c r="A295" s="9" t="n"/>
      <c r="B295" s="35" t="n"/>
      <c r="C295" s="45" t="n"/>
      <c r="D295" s="45" t="n"/>
      <c r="E295" s="9" t="n"/>
      <c r="F295" s="40" t="n"/>
      <c r="G295" s="9" t="n"/>
      <c r="H295" s="9" t="n"/>
      <c r="I295" s="9" t="n"/>
      <c r="J295" s="9" t="n"/>
      <c r="K295" s="9" t="n"/>
      <c r="L295" s="35" t="n"/>
      <c r="M295" s="9" t="n"/>
      <c r="N295" s="9" t="n"/>
      <c r="O295" s="9" t="n"/>
      <c r="P295" s="9" t="n"/>
    </row>
    <row r="296">
      <c r="A296" s="9" t="n"/>
      <c r="B296" s="35" t="n"/>
      <c r="C296" s="45" t="n"/>
      <c r="D296" s="45" t="n"/>
      <c r="E296" s="9" t="n"/>
      <c r="F296" s="40" t="n"/>
      <c r="G296" s="9" t="n"/>
      <c r="H296" s="9" t="n"/>
      <c r="I296" s="9" t="n"/>
      <c r="J296" s="9" t="n"/>
      <c r="K296" s="9" t="n"/>
      <c r="L296" s="35" t="n"/>
      <c r="M296" s="9" t="n"/>
      <c r="N296" s="9" t="n"/>
      <c r="O296" s="9" t="n"/>
      <c r="P296" s="9" t="n"/>
    </row>
    <row r="297">
      <c r="A297" s="9" t="n"/>
      <c r="B297" s="35" t="n"/>
      <c r="C297" s="45" t="n"/>
      <c r="D297" s="45" t="n"/>
      <c r="E297" s="9" t="n"/>
      <c r="F297" s="40" t="n"/>
      <c r="G297" s="9" t="n"/>
      <c r="H297" s="9" t="n"/>
      <c r="I297" s="9" t="n"/>
      <c r="J297" s="9" t="n"/>
      <c r="K297" s="9" t="n"/>
      <c r="L297" s="35" t="n"/>
      <c r="M297" s="9" t="n"/>
      <c r="N297" s="9" t="n"/>
      <c r="O297" s="9" t="n"/>
      <c r="P297" s="9" t="n"/>
    </row>
    <row r="298">
      <c r="A298" s="9" t="n"/>
      <c r="B298" s="35" t="n"/>
      <c r="C298" s="45" t="n"/>
      <c r="D298" s="45" t="n"/>
      <c r="E298" s="9" t="n"/>
      <c r="F298" s="40" t="n"/>
      <c r="G298" s="9" t="n"/>
      <c r="H298" s="9" t="n"/>
      <c r="I298" s="9" t="n"/>
      <c r="J298" s="9" t="n"/>
      <c r="K298" s="9" t="n"/>
      <c r="L298" s="35" t="n"/>
      <c r="M298" s="9" t="n"/>
      <c r="N298" s="9" t="n"/>
      <c r="O298" s="9" t="n"/>
      <c r="P298" s="9" t="n"/>
    </row>
    <row r="299">
      <c r="A299" s="9" t="n"/>
      <c r="B299" s="35" t="n"/>
      <c r="C299" s="45" t="n"/>
      <c r="D299" s="45" t="n"/>
      <c r="E299" s="9" t="n"/>
      <c r="F299" s="40" t="n"/>
      <c r="G299" s="9" t="n"/>
      <c r="H299" s="9" t="n"/>
      <c r="I299" s="9" t="n"/>
      <c r="J299" s="9" t="n"/>
      <c r="K299" s="9" t="n"/>
      <c r="L299" s="35" t="n"/>
      <c r="M299" s="9" t="n"/>
      <c r="N299" s="9" t="n"/>
      <c r="O299" s="9" t="n"/>
      <c r="P299" s="9" t="n"/>
    </row>
    <row r="300">
      <c r="A300" s="9" t="n"/>
      <c r="B300" s="35" t="n"/>
      <c r="C300" s="45" t="n"/>
      <c r="D300" s="45" t="n"/>
      <c r="E300" s="9" t="n"/>
      <c r="F300" s="40" t="n"/>
      <c r="G300" s="9" t="n"/>
      <c r="H300" s="9" t="n"/>
      <c r="I300" s="9" t="n"/>
      <c r="J300" s="9" t="n"/>
      <c r="K300" s="9" t="n"/>
      <c r="L300" s="35" t="n"/>
      <c r="M300" s="9" t="n"/>
      <c r="N300" s="9" t="n"/>
      <c r="O300" s="9" t="n"/>
      <c r="P300" s="9" t="n"/>
    </row>
    <row r="301">
      <c r="A301" s="9" t="n"/>
      <c r="B301" s="35" t="n"/>
      <c r="C301" s="45" t="n"/>
      <c r="D301" s="45" t="n"/>
      <c r="E301" s="9" t="n"/>
      <c r="F301" s="40" t="n"/>
      <c r="G301" s="9" t="n"/>
      <c r="H301" s="9" t="n"/>
      <c r="I301" s="9" t="n"/>
      <c r="J301" s="9" t="n"/>
      <c r="K301" s="9" t="n"/>
      <c r="L301" s="35" t="n"/>
      <c r="M301" s="9" t="n"/>
      <c r="N301" s="9" t="n"/>
      <c r="O301" s="9" t="n"/>
      <c r="P301" s="9" t="n"/>
    </row>
    <row r="302">
      <c r="A302" s="9" t="n"/>
      <c r="B302" s="35" t="n"/>
      <c r="C302" s="45" t="n"/>
      <c r="D302" s="45" t="n"/>
      <c r="E302" s="9" t="n"/>
      <c r="F302" s="40" t="n"/>
      <c r="G302" s="9" t="n"/>
      <c r="H302" s="9" t="n"/>
      <c r="I302" s="9" t="n"/>
      <c r="J302" s="9" t="n"/>
      <c r="K302" s="9" t="n"/>
      <c r="L302" s="35" t="n"/>
      <c r="M302" s="9" t="n"/>
      <c r="N302" s="9" t="n"/>
      <c r="O302" s="9" t="n"/>
      <c r="P302" s="9" t="n"/>
    </row>
    <row r="303">
      <c r="A303" s="9" t="n"/>
      <c r="B303" s="35" t="n"/>
      <c r="C303" s="45" t="n"/>
      <c r="D303" s="45" t="n"/>
      <c r="E303" s="9" t="n"/>
      <c r="F303" s="40" t="n"/>
      <c r="G303" s="9" t="n"/>
      <c r="H303" s="9" t="n"/>
      <c r="I303" s="9" t="n"/>
      <c r="J303" s="9" t="n"/>
      <c r="K303" s="9" t="n"/>
      <c r="L303" s="35" t="n"/>
      <c r="M303" s="9" t="n"/>
      <c r="N303" s="9" t="n"/>
      <c r="O303" s="9" t="n"/>
      <c r="P303" s="9" t="n"/>
    </row>
    <row r="304">
      <c r="A304" s="9" t="n"/>
      <c r="B304" s="35" t="n"/>
      <c r="C304" s="45" t="n"/>
      <c r="D304" s="45" t="n"/>
      <c r="E304" s="9" t="n"/>
      <c r="F304" s="40" t="n"/>
      <c r="G304" s="9" t="n"/>
      <c r="H304" s="9" t="n"/>
      <c r="I304" s="9" t="n"/>
      <c r="J304" s="9" t="n"/>
      <c r="K304" s="9" t="n"/>
      <c r="L304" s="35" t="n"/>
      <c r="M304" s="9" t="n"/>
      <c r="N304" s="9" t="n"/>
      <c r="O304" s="9" t="n"/>
      <c r="P304" s="9" t="n"/>
    </row>
    <row r="305">
      <c r="A305" s="9" t="n"/>
      <c r="B305" s="35" t="n"/>
      <c r="C305" s="45" t="n"/>
      <c r="D305" s="45" t="n"/>
      <c r="E305" s="9" t="n"/>
      <c r="F305" s="40" t="n"/>
      <c r="G305" s="9" t="n"/>
      <c r="H305" s="9" t="n"/>
      <c r="I305" s="9" t="n"/>
      <c r="J305" s="9" t="n"/>
      <c r="K305" s="9" t="n"/>
      <c r="L305" s="35" t="n"/>
      <c r="M305" s="9" t="n"/>
      <c r="N305" s="9" t="n"/>
      <c r="O305" s="9" t="n"/>
      <c r="P305" s="9" t="n"/>
    </row>
    <row r="306">
      <c r="A306" s="9" t="n"/>
      <c r="B306" s="35" t="n"/>
      <c r="C306" s="45" t="n"/>
      <c r="D306" s="45" t="n"/>
      <c r="E306" s="9" t="n"/>
      <c r="F306" s="40" t="n"/>
      <c r="G306" s="9" t="n"/>
      <c r="H306" s="9" t="n"/>
      <c r="I306" s="9" t="n"/>
      <c r="J306" s="9" t="n"/>
      <c r="K306" s="9" t="n"/>
      <c r="L306" s="35" t="n"/>
      <c r="M306" s="9" t="n"/>
      <c r="N306" s="9" t="n"/>
      <c r="O306" s="9" t="n"/>
      <c r="P306" s="9" t="n"/>
    </row>
    <row r="307">
      <c r="A307" s="9" t="n"/>
      <c r="B307" s="35" t="n"/>
      <c r="C307" s="45" t="n"/>
      <c r="D307" s="45" t="n"/>
      <c r="E307" s="9" t="n"/>
      <c r="F307" s="40" t="n"/>
      <c r="G307" s="9" t="n"/>
      <c r="H307" s="9" t="n"/>
      <c r="I307" s="9" t="n"/>
      <c r="J307" s="9" t="n"/>
      <c r="K307" s="9" t="n"/>
      <c r="L307" s="35" t="n"/>
      <c r="M307" s="9" t="n"/>
      <c r="N307" s="9" t="n"/>
      <c r="O307" s="9" t="n"/>
      <c r="P307" s="9" t="n"/>
    </row>
    <row r="308">
      <c r="A308" s="9" t="n"/>
      <c r="B308" s="35" t="n"/>
      <c r="C308" s="45" t="n"/>
      <c r="D308" s="45" t="n"/>
      <c r="E308" s="9" t="n"/>
      <c r="F308" s="40" t="n"/>
      <c r="G308" s="9" t="n"/>
      <c r="H308" s="9" t="n"/>
      <c r="I308" s="9" t="n"/>
      <c r="J308" s="9" t="n"/>
      <c r="K308" s="9" t="n"/>
      <c r="L308" s="35" t="n"/>
      <c r="M308" s="9" t="n"/>
      <c r="N308" s="9" t="n"/>
      <c r="O308" s="9" t="n"/>
      <c r="P308" s="9" t="n"/>
    </row>
    <row r="309">
      <c r="A309" s="9" t="n"/>
      <c r="B309" s="35" t="n"/>
      <c r="C309" s="45" t="n"/>
      <c r="D309" s="45" t="n"/>
      <c r="E309" s="9" t="n"/>
      <c r="F309" s="40" t="n"/>
      <c r="G309" s="9" t="n"/>
      <c r="H309" s="9" t="n"/>
      <c r="I309" s="9" t="n"/>
      <c r="J309" s="9" t="n"/>
      <c r="K309" s="9" t="n"/>
      <c r="L309" s="35" t="n"/>
      <c r="M309" s="9" t="n"/>
      <c r="N309" s="9" t="n"/>
      <c r="O309" s="9" t="n"/>
      <c r="P309" s="9" t="n"/>
    </row>
    <row r="310">
      <c r="A310" s="9" t="n"/>
      <c r="B310" s="35" t="n"/>
      <c r="C310" s="45" t="n"/>
      <c r="D310" s="45" t="n"/>
      <c r="E310" s="9" t="n"/>
      <c r="F310" s="40" t="n"/>
      <c r="G310" s="9" t="n"/>
      <c r="H310" s="9" t="n"/>
      <c r="I310" s="9" t="n"/>
      <c r="J310" s="9" t="n"/>
      <c r="K310" s="9" t="n"/>
      <c r="L310" s="35" t="n"/>
      <c r="M310" s="9" t="n"/>
      <c r="N310" s="9" t="n"/>
      <c r="O310" s="9" t="n"/>
      <c r="P310" s="9" t="n"/>
    </row>
    <row r="311">
      <c r="A311" s="9" t="n"/>
      <c r="B311" s="35" t="n"/>
      <c r="C311" s="45" t="n"/>
      <c r="D311" s="45" t="n"/>
      <c r="E311" s="9" t="n"/>
      <c r="F311" s="40" t="n"/>
      <c r="G311" s="9" t="n"/>
      <c r="H311" s="9" t="n"/>
      <c r="I311" s="9" t="n"/>
      <c r="J311" s="9" t="n"/>
      <c r="K311" s="9" t="n"/>
      <c r="L311" s="35" t="n"/>
      <c r="M311" s="9" t="n"/>
      <c r="N311" s="9" t="n"/>
      <c r="O311" s="9" t="n"/>
      <c r="P311" s="9" t="n"/>
    </row>
    <row r="312">
      <c r="A312" s="9" t="n"/>
      <c r="B312" s="35" t="n"/>
      <c r="C312" s="45" t="n"/>
      <c r="D312" s="45" t="n"/>
      <c r="E312" s="9" t="n"/>
      <c r="F312" s="40" t="n"/>
      <c r="G312" s="9" t="n"/>
      <c r="H312" s="9" t="n"/>
      <c r="I312" s="9" t="n"/>
      <c r="J312" s="9" t="n"/>
      <c r="K312" s="9" t="n"/>
      <c r="L312" s="35" t="n"/>
      <c r="M312" s="9" t="n"/>
      <c r="N312" s="9" t="n"/>
      <c r="O312" s="9" t="n"/>
      <c r="P312" s="9" t="n"/>
    </row>
    <row r="313">
      <c r="A313" s="9" t="n"/>
      <c r="B313" s="35" t="n"/>
      <c r="C313" s="45" t="n"/>
      <c r="D313" s="45" t="n"/>
      <c r="E313" s="9" t="n"/>
      <c r="F313" s="40" t="n"/>
      <c r="G313" s="9" t="n"/>
      <c r="H313" s="9" t="n"/>
      <c r="I313" s="9" t="n"/>
      <c r="J313" s="9" t="n"/>
      <c r="K313" s="9" t="n"/>
      <c r="L313" s="35" t="n"/>
      <c r="M313" s="9" t="n"/>
      <c r="N313" s="9" t="n"/>
      <c r="O313" s="9" t="n"/>
      <c r="P313" s="9" t="n"/>
    </row>
    <row r="314">
      <c r="A314" s="9" t="n"/>
      <c r="B314" s="35" t="n"/>
      <c r="C314" s="45" t="n"/>
      <c r="D314" s="45" t="n"/>
      <c r="E314" s="9" t="n"/>
      <c r="F314" s="40" t="n"/>
      <c r="G314" s="9" t="n"/>
      <c r="H314" s="9" t="n"/>
      <c r="I314" s="9" t="n"/>
      <c r="J314" s="9" t="n"/>
      <c r="K314" s="9" t="n"/>
      <c r="L314" s="35" t="n"/>
      <c r="M314" s="9" t="n"/>
      <c r="N314" s="9" t="n"/>
      <c r="O314" s="9" t="n"/>
      <c r="P314" s="9" t="n"/>
    </row>
    <row r="315">
      <c r="C315" s="60" t="n"/>
      <c r="D315" s="60" t="n"/>
    </row>
    <row r="316">
      <c r="C316" s="60" t="n"/>
      <c r="D316" s="60" t="n"/>
    </row>
    <row r="317">
      <c r="C317" s="60" t="n"/>
      <c r="D317" s="60" t="n"/>
    </row>
    <row r="318">
      <c r="C318" s="60" t="n"/>
      <c r="D318" s="60" t="n"/>
    </row>
    <row r="319">
      <c r="C319" s="60" t="n"/>
      <c r="D319" s="60" t="n"/>
    </row>
    <row r="320">
      <c r="C320" s="60" t="n"/>
      <c r="D320" s="60" t="n"/>
    </row>
    <row r="321">
      <c r="C321" s="60" t="n"/>
      <c r="D321" s="60" t="n"/>
    </row>
    <row r="322">
      <c r="C322" s="60" t="n"/>
      <c r="D322" s="60" t="n"/>
    </row>
    <row r="323">
      <c r="C323" s="60" t="n"/>
      <c r="D323" s="60" t="n"/>
    </row>
    <row r="324">
      <c r="C324" s="60" t="n"/>
      <c r="D324" s="60" t="n"/>
    </row>
    <row r="325">
      <c r="C325" s="60" t="n"/>
      <c r="D325" s="60" t="n"/>
    </row>
    <row r="326">
      <c r="C326" s="60" t="n"/>
      <c r="D326" s="60" t="n"/>
    </row>
    <row r="327">
      <c r="C327" s="60" t="n"/>
      <c r="D327" s="60" t="n"/>
    </row>
    <row r="328">
      <c r="C328" s="60" t="n"/>
      <c r="D328" s="60" t="n"/>
    </row>
    <row r="329">
      <c r="C329" s="60" t="n"/>
      <c r="D329" s="60" t="n"/>
    </row>
    <row r="330">
      <c r="C330" s="60" t="n"/>
      <c r="D330" s="60" t="n"/>
    </row>
    <row r="331">
      <c r="D331" s="60" t="n"/>
    </row>
    <row r="332">
      <c r="D332" s="60" t="n"/>
    </row>
    <row r="333">
      <c r="D333" s="60" t="n"/>
    </row>
    <row r="334">
      <c r="D334" s="60" t="n"/>
    </row>
    <row r="335">
      <c r="D335" s="60" t="n"/>
    </row>
    <row r="336">
      <c r="D336" s="60" t="n"/>
    </row>
    <row r="337">
      <c r="D337" s="60" t="n"/>
    </row>
    <row r="338">
      <c r="D338" s="60" t="n"/>
    </row>
    <row r="339">
      <c r="D339" s="60" t="n"/>
    </row>
    <row r="340">
      <c r="D340" s="60" t="n"/>
    </row>
    <row r="341">
      <c r="D341" s="60" t="n"/>
    </row>
    <row r="342">
      <c r="D342" s="60" t="n"/>
    </row>
    <row r="343">
      <c r="D343" s="60" t="n"/>
    </row>
    <row r="344">
      <c r="D344" s="60" t="n"/>
    </row>
    <row r="345">
      <c r="D345" s="60" t="n"/>
    </row>
    <row r="346">
      <c r="D346" s="60" t="n"/>
    </row>
    <row r="347">
      <c r="D347" s="60" t="n"/>
    </row>
    <row r="348">
      <c r="D348" s="60" t="n"/>
    </row>
    <row r="349">
      <c r="D349" s="60" t="n"/>
    </row>
    <row r="350">
      <c r="D350" s="60" t="n"/>
    </row>
    <row r="351">
      <c r="D351" s="60" t="n"/>
    </row>
    <row r="352">
      <c r="D352" s="60" t="n"/>
    </row>
    <row r="353">
      <c r="D353" s="60" t="n"/>
    </row>
    <row r="354">
      <c r="D354" s="60" t="n"/>
    </row>
    <row r="355">
      <c r="D355" s="60" t="n"/>
    </row>
    <row r="356">
      <c r="D356" s="60" t="n"/>
    </row>
    <row r="357">
      <c r="D357" s="60" t="n"/>
    </row>
    <row r="358">
      <c r="D358" s="60" t="n"/>
    </row>
    <row r="359">
      <c r="D359" s="60" t="n"/>
    </row>
    <row r="360">
      <c r="D360" s="60" t="n"/>
    </row>
    <row r="361">
      <c r="D361" s="60" t="n"/>
    </row>
    <row r="362">
      <c r="D362" s="60" t="n"/>
    </row>
    <row r="363">
      <c r="D363" s="60" t="n"/>
    </row>
    <row r="364">
      <c r="D364" s="60" t="n"/>
    </row>
    <row r="365">
      <c r="D365" s="60" t="n"/>
    </row>
    <row r="366">
      <c r="D366" s="60" t="n"/>
    </row>
    <row r="367">
      <c r="D367" s="60" t="n"/>
    </row>
    <row r="368">
      <c r="D368" s="60" t="n"/>
    </row>
    <row r="369">
      <c r="D369" s="60" t="n"/>
    </row>
    <row r="370">
      <c r="D370" s="60" t="n"/>
    </row>
    <row r="371">
      <c r="D371" s="60" t="n"/>
    </row>
    <row r="372">
      <c r="D372" s="60" t="n"/>
    </row>
    <row r="373">
      <c r="D373" s="60" t="n"/>
    </row>
    <row r="374">
      <c r="D374" s="60" t="n"/>
    </row>
    <row r="375">
      <c r="D375" s="60" t="n"/>
    </row>
    <row r="376">
      <c r="D376" s="60" t="n"/>
    </row>
    <row r="377">
      <c r="D377" s="60" t="n"/>
    </row>
    <row r="378">
      <c r="D378" s="60" t="n"/>
    </row>
    <row r="379">
      <c r="D379" s="60" t="n"/>
    </row>
    <row r="380">
      <c r="D380" s="60" t="n"/>
    </row>
    <row r="381">
      <c r="D381" s="60" t="n"/>
    </row>
    <row r="382">
      <c r="D382" s="60" t="n"/>
    </row>
    <row r="383">
      <c r="D383" s="60" t="n"/>
    </row>
    <row r="384">
      <c r="D384" s="60" t="n"/>
    </row>
    <row r="385">
      <c r="D385" s="60" t="n"/>
    </row>
    <row r="386">
      <c r="D386" s="60" t="n"/>
    </row>
    <row r="387">
      <c r="D387" s="60" t="n"/>
    </row>
    <row r="388">
      <c r="D388" s="60" t="n"/>
    </row>
    <row r="389">
      <c r="D389" s="60" t="n"/>
    </row>
    <row r="390">
      <c r="D390" s="60" t="n"/>
    </row>
    <row r="391">
      <c r="D391" s="60" t="n"/>
    </row>
    <row r="392">
      <c r="D392" s="60" t="n"/>
    </row>
    <row r="393">
      <c r="D393" s="60" t="n"/>
    </row>
    <row r="394">
      <c r="D394" s="60" t="n"/>
    </row>
    <row r="395">
      <c r="D395" s="60" t="n"/>
    </row>
    <row r="396">
      <c r="D396" s="60" t="n"/>
    </row>
    <row r="397">
      <c r="D397" s="60" t="n"/>
    </row>
    <row r="398">
      <c r="D398" s="60" t="n"/>
    </row>
    <row r="399">
      <c r="D399" s="60" t="n"/>
    </row>
    <row r="400">
      <c r="D400" s="60" t="n"/>
    </row>
    <row r="401">
      <c r="D401" s="60" t="n"/>
    </row>
    <row r="402">
      <c r="D402" s="60" t="n"/>
    </row>
    <row r="403">
      <c r="D403" s="60" t="n"/>
    </row>
    <row r="404">
      <c r="D404" s="60" t="n"/>
    </row>
    <row r="405">
      <c r="D405" s="60" t="n"/>
    </row>
    <row r="406">
      <c r="D406" s="60" t="n"/>
    </row>
    <row r="407">
      <c r="D407" s="60" t="n"/>
    </row>
    <row r="408">
      <c r="D408" s="60" t="n"/>
    </row>
    <row r="409">
      <c r="D409" s="60" t="n"/>
    </row>
    <row r="410">
      <c r="D410" s="60" t="n"/>
    </row>
    <row r="411">
      <c r="D411" s="60" t="n"/>
    </row>
    <row r="412">
      <c r="D412" s="60" t="n"/>
    </row>
    <row r="413">
      <c r="D413" s="60" t="n"/>
    </row>
    <row r="414">
      <c r="D414" s="60" t="n"/>
    </row>
    <row r="415">
      <c r="D415" s="60" t="n"/>
    </row>
    <row r="416">
      <c r="D416" s="60" t="n"/>
    </row>
    <row r="417">
      <c r="D417" s="60" t="n"/>
    </row>
    <row r="418">
      <c r="D418" s="60" t="n"/>
    </row>
    <row r="419">
      <c r="D419" s="60" t="n"/>
    </row>
    <row r="420">
      <c r="D420" s="60" t="n"/>
    </row>
    <row r="421">
      <c r="D421" s="60" t="n"/>
    </row>
    <row r="422">
      <c r="D422" s="60" t="n"/>
    </row>
    <row r="423">
      <c r="D423" s="60" t="n"/>
    </row>
    <row r="424">
      <c r="D424" s="60" t="n"/>
    </row>
    <row r="425">
      <c r="D425" s="60" t="n"/>
    </row>
    <row r="426">
      <c r="D426" s="60" t="n"/>
    </row>
    <row r="427">
      <c r="D427" s="60" t="n"/>
    </row>
    <row r="428">
      <c r="D428" s="60" t="n"/>
    </row>
    <row r="429">
      <c r="D429" s="60" t="n"/>
    </row>
    <row r="430">
      <c r="D430" s="60" t="n"/>
    </row>
    <row r="431">
      <c r="D431" s="60" t="n"/>
    </row>
    <row r="432">
      <c r="D432" s="60" t="n"/>
    </row>
    <row r="433">
      <c r="D433" s="60" t="n"/>
    </row>
    <row r="434">
      <c r="D434" s="60" t="n"/>
    </row>
    <row r="435">
      <c r="D435" s="60" t="n"/>
    </row>
    <row r="436">
      <c r="D436" s="60" t="n"/>
    </row>
    <row r="437">
      <c r="D437" s="60" t="n"/>
    </row>
    <row r="438">
      <c r="D438" s="60" t="n"/>
    </row>
    <row r="439">
      <c r="D439" s="60" t="n"/>
    </row>
    <row r="440">
      <c r="D440" s="60" t="n"/>
    </row>
    <row r="441">
      <c r="D441" s="60" t="n"/>
    </row>
    <row r="442">
      <c r="D442" s="60" t="n"/>
    </row>
    <row r="443">
      <c r="D443" s="60" t="n"/>
    </row>
    <row r="444">
      <c r="D444" s="60" t="n"/>
    </row>
    <row r="445">
      <c r="D445" s="60" t="n"/>
    </row>
    <row r="446">
      <c r="D446" s="60" t="n"/>
    </row>
    <row r="447">
      <c r="D447" s="60" t="n"/>
    </row>
    <row r="448">
      <c r="D448" s="60" t="n"/>
    </row>
    <row r="449">
      <c r="D449" s="60" t="n"/>
    </row>
    <row r="450">
      <c r="D450" s="60" t="n"/>
    </row>
    <row r="451">
      <c r="D451" s="60" t="n"/>
    </row>
    <row r="452">
      <c r="C452" s="60" t="n"/>
      <c r="D452" s="60" t="n"/>
    </row>
    <row r="453">
      <c r="C453" s="60" t="n"/>
      <c r="D453" s="60" t="n"/>
    </row>
    <row r="454">
      <c r="C454" s="60" t="n"/>
      <c r="D454" s="60" t="n"/>
    </row>
    <row r="455">
      <c r="C455" s="60" t="n"/>
      <c r="D455" s="60" t="n"/>
    </row>
    <row r="456">
      <c r="C456" s="60" t="n"/>
      <c r="D456" s="60" t="n"/>
    </row>
    <row r="457">
      <c r="C457" s="60" t="n"/>
      <c r="D457" s="60" t="n"/>
    </row>
    <row r="458">
      <c r="C458" s="60" t="n"/>
      <c r="D458" s="60" t="n"/>
    </row>
    <row r="459">
      <c r="C459" s="60" t="n"/>
      <c r="D459" s="60" t="n"/>
    </row>
    <row r="460">
      <c r="C460" s="60" t="n"/>
      <c r="D460" s="60" t="n"/>
    </row>
    <row r="461">
      <c r="C461" s="60" t="n"/>
      <c r="D461" s="60" t="n"/>
    </row>
    <row r="462">
      <c r="C462" s="60" t="n"/>
      <c r="D462" s="60" t="n"/>
    </row>
    <row r="463">
      <c r="C463" s="60" t="n"/>
      <c r="D463" s="60" t="n"/>
    </row>
    <row r="464">
      <c r="C464" s="60" t="n"/>
      <c r="D464" s="60" t="n"/>
    </row>
    <row r="465">
      <c r="C465" s="60" t="n"/>
      <c r="D465" s="60" t="n"/>
    </row>
    <row r="466">
      <c r="C466" s="60" t="n"/>
      <c r="D466" s="60" t="n"/>
    </row>
    <row r="467">
      <c r="C467" s="60" t="n"/>
      <c r="D467" s="60" t="n"/>
    </row>
    <row r="468">
      <c r="C468" s="60" t="n"/>
      <c r="D468" s="60" t="n"/>
    </row>
    <row r="469">
      <c r="C469" s="60" t="n"/>
      <c r="D469" s="60" t="n"/>
    </row>
    <row r="470">
      <c r="C470" s="60" t="n"/>
      <c r="D470" s="60" t="n"/>
    </row>
    <row r="471">
      <c r="C471" s="60" t="n"/>
      <c r="D471" s="60" t="n"/>
    </row>
    <row r="472">
      <c r="C472" s="60" t="n"/>
      <c r="D472" s="60" t="n"/>
    </row>
    <row r="473">
      <c r="C473" s="60" t="n"/>
      <c r="D473" s="60" t="n"/>
    </row>
    <row r="474">
      <c r="C474" s="60" t="n"/>
      <c r="D474" s="60" t="n"/>
    </row>
    <row r="475">
      <c r="C475" s="60" t="n"/>
      <c r="D475" s="60" t="n"/>
    </row>
    <row r="476">
      <c r="C476" s="60" t="n"/>
      <c r="D476" s="60" t="n"/>
    </row>
    <row r="477">
      <c r="C477" s="60" t="n"/>
      <c r="D477" s="60" t="n"/>
    </row>
    <row r="478">
      <c r="C478" s="60" t="n"/>
      <c r="D478" s="60" t="n"/>
    </row>
    <row r="479">
      <c r="C479" s="60" t="n"/>
      <c r="D479" s="60" t="n"/>
    </row>
    <row r="480">
      <c r="C480" s="60" t="n"/>
      <c r="D480" s="60" t="n"/>
    </row>
    <row r="481">
      <c r="C481" s="60" t="n"/>
      <c r="D481" s="60" t="n"/>
    </row>
    <row r="482">
      <c r="C482" s="60" t="n"/>
      <c r="D482" s="60" t="n"/>
    </row>
    <row r="483">
      <c r="C483" s="60" t="n"/>
      <c r="D483" s="60" t="n"/>
    </row>
    <row r="484">
      <c r="C484" s="60" t="n"/>
      <c r="D484" s="60" t="n"/>
    </row>
    <row r="485">
      <c r="C485" s="60" t="n"/>
      <c r="D485" s="60" t="n"/>
    </row>
    <row r="486">
      <c r="C486" s="60" t="n"/>
      <c r="D486" s="60" t="n"/>
    </row>
    <row r="487">
      <c r="C487" s="60" t="n"/>
      <c r="D487" s="60" t="n"/>
    </row>
    <row r="488">
      <c r="C488" s="60" t="n"/>
      <c r="D488" s="60" t="n"/>
    </row>
    <row r="489">
      <c r="C489" s="60" t="n"/>
      <c r="D489" s="60" t="n"/>
    </row>
    <row r="490">
      <c r="C490" s="60" t="n"/>
      <c r="D490" s="60" t="n"/>
    </row>
    <row r="491">
      <c r="C491" s="60" t="n"/>
      <c r="D491" s="60" t="n"/>
    </row>
    <row r="492">
      <c r="C492" s="60" t="n"/>
      <c r="D492" s="60" t="n"/>
    </row>
    <row r="493">
      <c r="C493" s="60" t="n"/>
      <c r="D493" s="60" t="n"/>
    </row>
    <row r="494">
      <c r="C494" s="60" t="n"/>
      <c r="D494" s="60" t="n"/>
    </row>
    <row r="495">
      <c r="C495" s="60" t="n"/>
      <c r="D495" s="60" t="n"/>
    </row>
    <row r="496">
      <c r="C496" s="60" t="n"/>
      <c r="D496" s="60" t="n"/>
    </row>
    <row r="497">
      <c r="C497" s="60" t="n"/>
      <c r="D497" s="60" t="n"/>
    </row>
    <row r="498">
      <c r="C498" s="60" t="n"/>
      <c r="D498" s="60" t="n"/>
    </row>
    <row r="499">
      <c r="C499" s="60" t="n"/>
      <c r="D499" s="60" t="n"/>
    </row>
    <row r="500">
      <c r="C500" s="60" t="n"/>
      <c r="D500" s="60" t="n"/>
    </row>
    <row r="501">
      <c r="C501" s="60" t="n"/>
      <c r="D501" s="60" t="n"/>
    </row>
    <row r="502">
      <c r="C502" s="60" t="n"/>
      <c r="D502" s="60" t="n"/>
    </row>
    <row r="503">
      <c r="C503" s="60" t="n"/>
      <c r="D503" s="60" t="n"/>
    </row>
    <row r="504">
      <c r="C504" s="60" t="n"/>
      <c r="D504" s="60" t="n"/>
    </row>
    <row r="505">
      <c r="C505" s="60" t="n"/>
      <c r="D505" s="60" t="n"/>
    </row>
    <row r="506">
      <c r="C506" s="60" t="n"/>
      <c r="D506" s="60" t="n"/>
    </row>
    <row r="507">
      <c r="C507" s="60" t="n"/>
      <c r="D507" s="60" t="n"/>
    </row>
    <row r="508">
      <c r="C508" s="60" t="n"/>
      <c r="D508" s="60" t="n"/>
    </row>
    <row r="509">
      <c r="C509" s="60" t="n"/>
      <c r="D509" s="60" t="n"/>
    </row>
    <row r="510">
      <c r="C510" s="60" t="n"/>
      <c r="D510" s="60" t="n"/>
    </row>
    <row r="511">
      <c r="C511" s="60" t="n"/>
      <c r="D511" s="60" t="n"/>
    </row>
    <row r="512">
      <c r="C512" s="60" t="n"/>
      <c r="D512" s="60" t="n"/>
    </row>
    <row r="513">
      <c r="C513" s="60" t="n"/>
      <c r="D513" s="60" t="n"/>
    </row>
    <row r="514">
      <c r="C514" s="60" t="n"/>
      <c r="D514" s="60" t="n"/>
    </row>
    <row r="515">
      <c r="C515" s="60" t="n"/>
      <c r="D515" s="60" t="n"/>
    </row>
    <row r="516">
      <c r="C516" s="60" t="n"/>
      <c r="D516" s="60" t="n"/>
    </row>
    <row r="517">
      <c r="C517" s="60" t="n"/>
      <c r="D517" s="60" t="n"/>
    </row>
    <row r="518">
      <c r="C518" s="60" t="n"/>
      <c r="D518" s="60" t="n"/>
    </row>
    <row r="519">
      <c r="C519" s="60" t="n"/>
      <c r="D519" s="60" t="n"/>
    </row>
    <row r="520">
      <c r="C520" s="60" t="n"/>
      <c r="D520" s="60" t="n"/>
    </row>
    <row r="521">
      <c r="C521" s="60" t="n"/>
      <c r="D521" s="60" t="n"/>
    </row>
    <row r="522">
      <c r="C522" s="60" t="n"/>
      <c r="D522" s="60" t="n"/>
    </row>
    <row r="523">
      <c r="C523" s="60" t="n"/>
      <c r="D523" s="60" t="n"/>
    </row>
    <row r="524">
      <c r="C524" s="60" t="n"/>
      <c r="D524" s="60" t="n"/>
    </row>
    <row r="525">
      <c r="C525" s="60" t="n"/>
      <c r="D525" s="60" t="n"/>
    </row>
    <row r="526">
      <c r="C526" s="60" t="n"/>
      <c r="D526" s="60" t="n"/>
    </row>
    <row r="527">
      <c r="C527" s="60" t="n"/>
      <c r="D527" s="60" t="n"/>
    </row>
    <row r="528">
      <c r="C528" s="60" t="n"/>
      <c r="D528" s="60" t="n"/>
    </row>
    <row r="529">
      <c r="C529" s="60" t="n"/>
      <c r="D529" s="60" t="n"/>
    </row>
    <row r="530">
      <c r="C530" s="60" t="n"/>
      <c r="D530" s="60" t="n"/>
    </row>
    <row r="531">
      <c r="C531" s="60" t="n"/>
      <c r="D531" s="60" t="n"/>
    </row>
    <row r="532">
      <c r="C532" s="60" t="n"/>
      <c r="D532" s="60" t="n"/>
    </row>
    <row r="533">
      <c r="C533" s="60" t="n"/>
      <c r="D533" s="60" t="n"/>
    </row>
    <row r="534">
      <c r="C534" s="60" t="n"/>
      <c r="D534" s="60" t="n"/>
    </row>
    <row r="535">
      <c r="C535" s="60" t="n"/>
      <c r="D535" s="60" t="n"/>
    </row>
    <row r="536">
      <c r="C536" s="60" t="n"/>
      <c r="D536" s="60" t="n"/>
    </row>
    <row r="537">
      <c r="C537" s="60" t="n"/>
      <c r="D537" s="60" t="n"/>
    </row>
    <row r="538">
      <c r="C538" s="60" t="n"/>
      <c r="D538" s="60" t="n"/>
    </row>
    <row r="539">
      <c r="C539" s="60" t="n"/>
      <c r="D539" s="60" t="n"/>
    </row>
    <row r="540">
      <c r="C540" s="60" t="n"/>
      <c r="D540" s="60" t="n"/>
    </row>
    <row r="541">
      <c r="C541" s="60" t="n"/>
      <c r="D541" s="60" t="n"/>
    </row>
    <row r="542">
      <c r="C542" s="60" t="n"/>
      <c r="D542" s="60" t="n"/>
    </row>
    <row r="543">
      <c r="C543" s="60" t="n"/>
      <c r="D543" s="60" t="n"/>
    </row>
    <row r="544">
      <c r="C544" s="60" t="n"/>
      <c r="D544" s="60" t="n"/>
    </row>
    <row r="545">
      <c r="C545" s="60" t="n"/>
      <c r="D545" s="60" t="n"/>
    </row>
    <row r="546">
      <c r="C546" s="60" t="n"/>
      <c r="D546" s="60" t="n"/>
    </row>
    <row r="547">
      <c r="C547" s="60" t="n"/>
      <c r="D547" s="60" t="n"/>
    </row>
    <row r="548">
      <c r="C548" s="60" t="n"/>
      <c r="D548" s="60" t="n"/>
    </row>
    <row r="549">
      <c r="C549" s="60" t="n"/>
      <c r="D549" s="60" t="n"/>
    </row>
    <row r="550">
      <c r="C550" s="60" t="n"/>
      <c r="D550" s="60" t="n"/>
    </row>
    <row r="551">
      <c r="C551" s="60" t="n"/>
      <c r="D551" s="60" t="n"/>
    </row>
    <row r="552">
      <c r="C552" s="60" t="n"/>
      <c r="D552" s="60" t="n"/>
    </row>
    <row r="553">
      <c r="C553" s="60" t="n"/>
      <c r="D553" s="60" t="n"/>
    </row>
    <row r="554">
      <c r="C554" s="60" t="n"/>
      <c r="D554" s="60" t="n"/>
    </row>
    <row r="555">
      <c r="C555" s="60" t="n"/>
      <c r="D555" s="60" t="n"/>
    </row>
    <row r="556">
      <c r="C556" s="60" t="n"/>
      <c r="D556" s="60" t="n"/>
    </row>
    <row r="557">
      <c r="C557" s="60" t="n"/>
      <c r="D557" s="60" t="n"/>
    </row>
    <row r="558">
      <c r="C558" s="60" t="n"/>
      <c r="D558" s="60" t="n"/>
    </row>
    <row r="559">
      <c r="C559" s="60" t="n"/>
      <c r="D559" s="60" t="n"/>
    </row>
    <row r="560">
      <c r="C560" s="60" t="n"/>
      <c r="D560" s="60" t="n"/>
    </row>
    <row r="561">
      <c r="C561" s="60" t="n"/>
      <c r="D561" s="60" t="n"/>
    </row>
    <row r="562">
      <c r="C562" s="60" t="n"/>
      <c r="D562" s="60" t="n"/>
    </row>
    <row r="563">
      <c r="C563" s="60" t="n"/>
      <c r="D563" s="60" t="n"/>
    </row>
    <row r="564">
      <c r="C564" s="60" t="n"/>
      <c r="D564" s="60" t="n"/>
    </row>
    <row r="565">
      <c r="C565" s="60" t="n"/>
      <c r="D565" s="60" t="n"/>
    </row>
    <row r="566">
      <c r="C566" s="60" t="n"/>
      <c r="D566" s="60" t="n"/>
    </row>
    <row r="567">
      <c r="C567" s="60" t="n"/>
      <c r="D567" s="60" t="n"/>
    </row>
    <row r="568">
      <c r="C568" s="60" t="n"/>
      <c r="D568" s="60" t="n"/>
    </row>
    <row r="569">
      <c r="C569" s="60" t="n"/>
      <c r="D569" s="60" t="n"/>
    </row>
    <row r="570">
      <c r="C570" s="60" t="n"/>
      <c r="D570" s="60" t="n"/>
    </row>
    <row r="571">
      <c r="C571" s="60" t="n"/>
      <c r="D571" s="60" t="n"/>
    </row>
    <row r="572">
      <c r="C572" s="60" t="n"/>
      <c r="D572" s="60" t="n"/>
    </row>
    <row r="573">
      <c r="C573" s="60" t="n"/>
      <c r="D573" s="60" t="n"/>
    </row>
    <row r="574">
      <c r="C574" s="60" t="n"/>
      <c r="D574" s="60" t="n"/>
    </row>
    <row r="575">
      <c r="C575" s="60" t="n"/>
      <c r="D575" s="60" t="n"/>
    </row>
    <row r="576">
      <c r="C576" s="60" t="n"/>
      <c r="D576" s="60" t="n"/>
    </row>
    <row r="577">
      <c r="C577" s="60" t="n"/>
      <c r="D577" s="60" t="n"/>
    </row>
    <row r="578">
      <c r="C578" s="60" t="n"/>
      <c r="D578" s="60" t="n"/>
    </row>
    <row r="579">
      <c r="C579" s="60" t="n"/>
      <c r="D579" s="60" t="n"/>
    </row>
    <row r="580">
      <c r="C580" s="60" t="n"/>
      <c r="D580" s="60" t="n"/>
    </row>
    <row r="581">
      <c r="C581" s="60" t="n"/>
      <c r="D581" s="60" t="n"/>
    </row>
    <row r="582">
      <c r="C582" s="60" t="n"/>
      <c r="D582" s="60" t="n"/>
    </row>
    <row r="583">
      <c r="C583" s="60" t="n"/>
      <c r="D583" s="60" t="n"/>
    </row>
    <row r="584">
      <c r="C584" s="60" t="n"/>
      <c r="D584" s="60" t="n"/>
    </row>
    <row r="585">
      <c r="C585" s="60" t="n"/>
      <c r="D585" s="60" t="n"/>
    </row>
    <row r="586">
      <c r="C586" s="60" t="n"/>
      <c r="D586" s="60" t="n"/>
    </row>
    <row r="587">
      <c r="C587" s="60" t="n"/>
      <c r="D587" s="60" t="n"/>
    </row>
    <row r="588">
      <c r="C588" s="60" t="n"/>
      <c r="D588" s="60" t="n"/>
    </row>
    <row r="589">
      <c r="C589" s="60" t="n"/>
      <c r="D589" s="60" t="n"/>
    </row>
    <row r="590">
      <c r="C590" s="60" t="n"/>
      <c r="D590" s="60" t="n"/>
    </row>
    <row r="591">
      <c r="C591" s="60" t="n"/>
      <c r="D591" s="60" t="n"/>
    </row>
    <row r="592">
      <c r="C592" s="60" t="n"/>
      <c r="D592" s="60" t="n"/>
    </row>
    <row r="593">
      <c r="C593" s="60" t="n"/>
      <c r="D593" s="60" t="n"/>
    </row>
    <row r="594">
      <c r="C594" s="60" t="n"/>
      <c r="D594" s="60" t="n"/>
    </row>
    <row r="595">
      <c r="C595" s="60" t="n"/>
      <c r="D595" s="60" t="n"/>
    </row>
    <row r="596">
      <c r="C596" s="60" t="n"/>
      <c r="D596" s="60" t="n"/>
    </row>
    <row r="597">
      <c r="C597" s="60" t="n"/>
      <c r="D597" s="60" t="n"/>
    </row>
    <row r="598">
      <c r="C598" s="60" t="n"/>
      <c r="D598" s="60" t="n"/>
    </row>
    <row r="599">
      <c r="C599" s="60" t="n"/>
      <c r="D599" s="60" t="n"/>
    </row>
    <row r="600">
      <c r="C600" s="60" t="n"/>
      <c r="D600" s="60" t="n"/>
    </row>
    <row r="601">
      <c r="C601" s="60" t="n"/>
      <c r="D601" s="60" t="n"/>
    </row>
    <row r="602">
      <c r="C602" s="60" t="n"/>
      <c r="D602" s="60" t="n"/>
    </row>
    <row r="603">
      <c r="C603" s="60" t="n"/>
      <c r="D603" s="60" t="n"/>
    </row>
    <row r="604">
      <c r="C604" s="60" t="n"/>
      <c r="D604" s="60" t="n"/>
    </row>
    <row r="605">
      <c r="C605" s="60" t="n"/>
      <c r="D605" s="60" t="n"/>
    </row>
    <row r="606">
      <c r="C606" s="60" t="n"/>
      <c r="D606" s="60" t="n"/>
    </row>
    <row r="607">
      <c r="C607" s="60" t="n"/>
      <c r="D607" s="60" t="n"/>
    </row>
    <row r="608">
      <c r="C608" s="60" t="n"/>
      <c r="D608" s="60" t="n"/>
    </row>
    <row r="609">
      <c r="C609" s="60" t="n"/>
      <c r="D609" s="60" t="n"/>
    </row>
    <row r="610">
      <c r="C610" s="60" t="n"/>
      <c r="D610" s="60" t="n"/>
    </row>
    <row r="611">
      <c r="C611" s="60" t="n"/>
      <c r="D611" s="60" t="n"/>
    </row>
    <row r="612">
      <c r="C612" s="60" t="n"/>
      <c r="D612" s="60" t="n"/>
    </row>
    <row r="613">
      <c r="C613" s="60" t="n"/>
      <c r="D613" s="60" t="n"/>
    </row>
    <row r="614">
      <c r="C614" s="60" t="n"/>
      <c r="D614" s="60" t="n"/>
    </row>
    <row r="615">
      <c r="C615" s="60" t="n"/>
      <c r="D615" s="60" t="n"/>
    </row>
    <row r="616">
      <c r="C616" s="60" t="n"/>
      <c r="D616" s="60" t="n"/>
    </row>
    <row r="617">
      <c r="C617" s="60" t="n"/>
      <c r="D617" s="60" t="n"/>
    </row>
    <row r="618">
      <c r="C618" s="60" t="n"/>
      <c r="D618" s="60" t="n"/>
    </row>
    <row r="619">
      <c r="C619" s="60" t="n"/>
      <c r="D619" s="60" t="n"/>
    </row>
    <row r="620">
      <c r="C620" s="60" t="n"/>
      <c r="D620" s="60" t="n"/>
    </row>
    <row r="621">
      <c r="C621" s="60" t="n"/>
      <c r="D621" s="60" t="n"/>
    </row>
    <row r="622">
      <c r="C622" s="60" t="n"/>
      <c r="D622" s="60" t="n"/>
    </row>
    <row r="623">
      <c r="C623" s="60" t="n"/>
      <c r="D623" s="60" t="n"/>
    </row>
    <row r="624">
      <c r="C624" s="60" t="n"/>
      <c r="D624" s="60" t="n"/>
    </row>
    <row r="625">
      <c r="C625" s="60" t="n"/>
      <c r="D625" s="60" t="n"/>
    </row>
    <row r="626">
      <c r="C626" s="60" t="n"/>
      <c r="D626" s="60" t="n"/>
    </row>
    <row r="627">
      <c r="C627" s="60" t="n"/>
      <c r="D627" s="60" t="n"/>
    </row>
    <row r="628">
      <c r="C628" s="60" t="n"/>
      <c r="D628" s="60" t="n"/>
    </row>
    <row r="629">
      <c r="C629" s="60" t="n"/>
      <c r="D629" s="60" t="n"/>
    </row>
    <row r="630">
      <c r="C630" s="60" t="n"/>
      <c r="D630" s="60" t="n"/>
    </row>
    <row r="631">
      <c r="C631" s="60" t="n"/>
      <c r="D631" s="60" t="n"/>
    </row>
    <row r="632">
      <c r="C632" s="60" t="n"/>
      <c r="D632" s="60" t="n"/>
    </row>
    <row r="633">
      <c r="C633" s="60" t="n"/>
      <c r="D633" s="60" t="n"/>
    </row>
    <row r="634">
      <c r="C634" s="60" t="n"/>
      <c r="D634" s="60" t="n"/>
    </row>
    <row r="635">
      <c r="C635" s="60" t="n"/>
      <c r="D635" s="60" t="n"/>
    </row>
    <row r="636">
      <c r="C636" s="60" t="n"/>
      <c r="D636" s="60" t="n"/>
    </row>
    <row r="637">
      <c r="C637" s="60" t="n"/>
      <c r="D637" s="60" t="n"/>
    </row>
    <row r="638">
      <c r="C638" s="60" t="n"/>
      <c r="D638" s="60" t="n"/>
    </row>
    <row r="639">
      <c r="C639" s="60" t="n"/>
      <c r="D639" s="60" t="n"/>
    </row>
    <row r="640">
      <c r="C640" s="60" t="n"/>
      <c r="D640" s="60" t="n"/>
    </row>
    <row r="641">
      <c r="C641" s="60" t="n"/>
      <c r="D641" s="60" t="n"/>
    </row>
    <row r="642">
      <c r="C642" s="60" t="n"/>
      <c r="D642" s="60" t="n"/>
    </row>
    <row r="643">
      <c r="C643" s="60" t="n"/>
      <c r="D643" s="60" t="n"/>
    </row>
    <row r="644">
      <c r="C644" s="60" t="n"/>
      <c r="D644" s="60" t="n"/>
    </row>
    <row r="645">
      <c r="C645" s="60" t="n"/>
      <c r="D645" s="60" t="n"/>
    </row>
    <row r="646">
      <c r="C646" s="60" t="n"/>
      <c r="D646" s="60" t="n"/>
    </row>
    <row r="647">
      <c r="C647" s="60" t="n"/>
      <c r="D647" s="60" t="n"/>
    </row>
    <row r="648">
      <c r="C648" s="60" t="n"/>
      <c r="D648" s="60" t="n"/>
    </row>
    <row r="649">
      <c r="C649" s="60" t="n"/>
      <c r="D649" s="60" t="n"/>
    </row>
    <row r="650">
      <c r="C650" s="60" t="n"/>
      <c r="D650" s="60" t="n"/>
    </row>
    <row r="651">
      <c r="C651" s="60" t="n"/>
      <c r="D651" s="60" t="n"/>
    </row>
    <row r="652">
      <c r="C652" s="60" t="n"/>
      <c r="D652" s="60" t="n"/>
    </row>
    <row r="653">
      <c r="C653" s="60" t="n"/>
      <c r="D653" s="60" t="n"/>
    </row>
    <row r="654">
      <c r="C654" s="60" t="n"/>
      <c r="D654" s="60" t="n"/>
    </row>
    <row r="655">
      <c r="C655" s="60" t="n"/>
      <c r="D655" s="60" t="n"/>
    </row>
    <row r="656">
      <c r="C656" s="60" t="n"/>
      <c r="D656" s="60" t="n"/>
    </row>
    <row r="657">
      <c r="C657" s="60" t="n"/>
      <c r="D657" s="60" t="n"/>
    </row>
    <row r="658">
      <c r="C658" s="60" t="n"/>
      <c r="D658" s="60" t="n"/>
    </row>
    <row r="659">
      <c r="C659" s="60" t="n"/>
      <c r="D659" s="60" t="n"/>
    </row>
    <row r="660">
      <c r="C660" s="60" t="n"/>
      <c r="D660" s="60" t="n"/>
    </row>
    <row r="661">
      <c r="C661" s="60" t="n"/>
      <c r="D661" s="60" t="n"/>
    </row>
    <row r="662">
      <c r="C662" s="60" t="n"/>
      <c r="D662" s="60" t="n"/>
    </row>
    <row r="663">
      <c r="C663" s="60" t="n"/>
      <c r="D663" s="60" t="n"/>
    </row>
    <row r="664">
      <c r="C664" s="60" t="n"/>
      <c r="D664" s="60" t="n"/>
    </row>
    <row r="665">
      <c r="C665" s="60" t="n"/>
      <c r="D665" s="60" t="n"/>
    </row>
    <row r="666">
      <c r="C666" s="60" t="n"/>
      <c r="D666" s="60" t="n"/>
    </row>
    <row r="667">
      <c r="C667" s="60" t="n"/>
      <c r="D667" s="60" t="n"/>
    </row>
    <row r="668">
      <c r="C668" s="60" t="n"/>
      <c r="D668" s="60" t="n"/>
    </row>
    <row r="669">
      <c r="C669" s="60" t="n"/>
      <c r="D669" s="60" t="n"/>
    </row>
    <row r="670">
      <c r="C670" s="60" t="n"/>
      <c r="D670" s="60" t="n"/>
    </row>
    <row r="671">
      <c r="C671" s="60" t="n"/>
      <c r="D671" s="60" t="n"/>
    </row>
    <row r="672">
      <c r="C672" s="60" t="n"/>
      <c r="D672" s="60" t="n"/>
    </row>
    <row r="673">
      <c r="C673" s="60" t="n"/>
      <c r="D673" s="60" t="n"/>
    </row>
    <row r="674">
      <c r="C674" s="60" t="n"/>
      <c r="D674" s="60" t="n"/>
    </row>
    <row r="675">
      <c r="C675" s="60" t="n"/>
      <c r="D675" s="60" t="n"/>
    </row>
    <row r="676">
      <c r="C676" s="60" t="n"/>
      <c r="D676" s="60" t="n"/>
    </row>
    <row r="677">
      <c r="C677" s="60" t="n"/>
      <c r="D677" s="60" t="n"/>
    </row>
    <row r="678">
      <c r="C678" s="60" t="n"/>
      <c r="D678" s="60" t="n"/>
    </row>
    <row r="679">
      <c r="C679" s="60" t="n"/>
      <c r="D679" s="60" t="n"/>
    </row>
    <row r="680">
      <c r="C680" s="60" t="n"/>
      <c r="D680" s="60" t="n"/>
    </row>
    <row r="681">
      <c r="C681" s="60" t="n"/>
      <c r="D681" s="60" t="n"/>
    </row>
    <row r="682">
      <c r="C682" s="60" t="n"/>
      <c r="D682" s="60" t="n"/>
    </row>
    <row r="683">
      <c r="C683" s="60" t="n"/>
      <c r="D683" s="60" t="n"/>
    </row>
    <row r="684">
      <c r="C684" s="60" t="n"/>
      <c r="D684" s="60" t="n"/>
    </row>
    <row r="685">
      <c r="C685" s="60" t="n"/>
      <c r="D685" s="60" t="n"/>
    </row>
    <row r="686">
      <c r="C686" s="60" t="n"/>
      <c r="D686" s="60" t="n"/>
    </row>
    <row r="687">
      <c r="C687" s="60" t="n"/>
      <c r="D687" s="60" t="n"/>
    </row>
    <row r="688">
      <c r="C688" s="60" t="n"/>
      <c r="D688" s="60" t="n"/>
    </row>
    <row r="689">
      <c r="C689" s="60" t="n"/>
      <c r="D689" s="60" t="n"/>
    </row>
    <row r="690">
      <c r="C690" s="60" t="n"/>
      <c r="D690" s="60" t="n"/>
    </row>
    <row r="691">
      <c r="C691" s="60" t="n"/>
      <c r="D691" s="60" t="n"/>
    </row>
    <row r="692">
      <c r="C692" s="60" t="n"/>
      <c r="D692" s="60" t="n"/>
    </row>
    <row r="693">
      <c r="C693" s="60" t="n"/>
      <c r="D693" s="60" t="n"/>
    </row>
    <row r="694">
      <c r="C694" s="60" t="n"/>
      <c r="D694" s="60" t="n"/>
    </row>
    <row r="695">
      <c r="C695" s="60" t="n"/>
      <c r="D695" s="60" t="n"/>
    </row>
    <row r="696">
      <c r="C696" s="60" t="n"/>
      <c r="D696" s="60" t="n"/>
    </row>
    <row r="697">
      <c r="C697" s="60" t="n"/>
      <c r="D697" s="60" t="n"/>
    </row>
    <row r="698">
      <c r="C698" s="60" t="n"/>
      <c r="D698" s="60" t="n"/>
    </row>
    <row r="699">
      <c r="C699" s="60" t="n"/>
      <c r="D699" s="60" t="n"/>
    </row>
    <row r="700">
      <c r="C700" s="60" t="n"/>
      <c r="D700" s="60" t="n"/>
    </row>
    <row r="701">
      <c r="C701" s="60" t="n"/>
      <c r="D701" s="60" t="n"/>
    </row>
    <row r="702">
      <c r="C702" s="60" t="n"/>
      <c r="D702" s="60" t="n"/>
    </row>
    <row r="703">
      <c r="C703" s="60" t="n"/>
      <c r="D703" s="60" t="n"/>
    </row>
    <row r="704">
      <c r="C704" s="60" t="n"/>
      <c r="D704" s="60" t="n"/>
    </row>
    <row r="705">
      <c r="C705" s="60" t="n"/>
      <c r="D705" s="60" t="n"/>
    </row>
    <row r="706">
      <c r="C706" s="60" t="n"/>
      <c r="D706" s="60" t="n"/>
    </row>
    <row r="707">
      <c r="C707" s="60" t="n"/>
      <c r="D707" s="60" t="n"/>
    </row>
    <row r="708">
      <c r="C708" s="60" t="n"/>
      <c r="D708" s="60" t="n"/>
    </row>
    <row r="709">
      <c r="C709" s="60" t="n"/>
      <c r="D709" s="60" t="n"/>
    </row>
    <row r="710">
      <c r="C710" s="60" t="n"/>
      <c r="D710" s="60" t="n"/>
    </row>
    <row r="711">
      <c r="C711" s="60" t="n"/>
      <c r="D711" s="60" t="n"/>
    </row>
    <row r="712">
      <c r="C712" s="60" t="n"/>
      <c r="D712" s="60" t="n"/>
    </row>
    <row r="713">
      <c r="C713" s="60" t="n"/>
      <c r="D713" s="60" t="n"/>
    </row>
    <row r="714">
      <c r="C714" s="60" t="n"/>
      <c r="D714" s="60" t="n"/>
    </row>
    <row r="715">
      <c r="C715" s="60" t="n"/>
      <c r="D715" s="60" t="n"/>
    </row>
    <row r="716">
      <c r="C716" s="60" t="n"/>
      <c r="D716" s="60" t="n"/>
    </row>
    <row r="717">
      <c r="C717" s="60" t="n"/>
      <c r="D717" s="60" t="n"/>
    </row>
    <row r="718">
      <c r="C718" s="60" t="n"/>
      <c r="D718" s="60" t="n"/>
    </row>
    <row r="719">
      <c r="C719" s="60" t="n"/>
      <c r="D719" s="60" t="n"/>
    </row>
    <row r="720">
      <c r="C720" s="60" t="n"/>
      <c r="D720" s="60" t="n"/>
    </row>
    <row r="721">
      <c r="C721" s="60" t="n"/>
      <c r="D721" s="60" t="n"/>
    </row>
    <row r="722">
      <c r="C722" s="60" t="n"/>
      <c r="D722" s="60" t="n"/>
    </row>
    <row r="723">
      <c r="C723" s="60" t="n"/>
      <c r="D723" s="60" t="n"/>
    </row>
    <row r="724">
      <c r="C724" s="60" t="n"/>
      <c r="D724" s="60" t="n"/>
    </row>
    <row r="725">
      <c r="C725" s="60" t="n"/>
      <c r="D725" s="60" t="n"/>
    </row>
    <row r="726">
      <c r="C726" s="60" t="n"/>
      <c r="D726" s="60" t="n"/>
    </row>
    <row r="727">
      <c r="C727" s="60" t="n"/>
      <c r="D727" s="60" t="n"/>
    </row>
    <row r="728">
      <c r="C728" s="60" t="n"/>
      <c r="D728" s="60" t="n"/>
    </row>
    <row r="729">
      <c r="C729" s="60" t="n"/>
      <c r="D729" s="60" t="n"/>
    </row>
    <row r="730">
      <c r="C730" s="60" t="n"/>
      <c r="D730" s="60" t="n"/>
    </row>
    <row r="731">
      <c r="C731" s="60" t="n"/>
      <c r="D731" s="60" t="n"/>
    </row>
    <row r="732">
      <c r="C732" s="60" t="n"/>
      <c r="D732" s="60" t="n"/>
    </row>
    <row r="733">
      <c r="C733" s="60" t="n"/>
      <c r="D733" s="60" t="n"/>
    </row>
    <row r="734">
      <c r="C734" s="60" t="n"/>
      <c r="D734" s="60" t="n"/>
    </row>
    <row r="735">
      <c r="C735" s="60" t="n"/>
      <c r="D735" s="60" t="n"/>
    </row>
    <row r="736">
      <c r="C736" s="60" t="n"/>
      <c r="D736" s="60" t="n"/>
    </row>
    <row r="737">
      <c r="C737" s="60" t="n"/>
      <c r="D737" s="60" t="n"/>
    </row>
    <row r="738">
      <c r="C738" s="60" t="n"/>
      <c r="D738" s="60" t="n"/>
    </row>
    <row r="739">
      <c r="C739" s="60" t="n"/>
      <c r="D739" s="60" t="n"/>
    </row>
    <row r="740">
      <c r="C740" s="60" t="n"/>
      <c r="D740" s="60" t="n"/>
    </row>
    <row r="741">
      <c r="C741" s="60" t="n"/>
      <c r="D741" s="60" t="n"/>
    </row>
    <row r="742">
      <c r="C742" s="60" t="n"/>
      <c r="D742" s="60" t="n"/>
    </row>
    <row r="743">
      <c r="C743" s="60" t="n"/>
      <c r="D743" s="60" t="n"/>
    </row>
    <row r="744">
      <c r="C744" s="60" t="n"/>
      <c r="D744" s="60" t="n"/>
    </row>
    <row r="745">
      <c r="C745" s="60" t="n"/>
      <c r="D745" s="60" t="n"/>
    </row>
    <row r="746">
      <c r="C746" s="60" t="n"/>
      <c r="D746" s="60" t="n"/>
    </row>
    <row r="747">
      <c r="C747" s="60" t="n"/>
      <c r="D747" s="60" t="n"/>
    </row>
    <row r="748">
      <c r="C748" s="60" t="n"/>
      <c r="D748" s="60" t="n"/>
    </row>
    <row r="749">
      <c r="C749" s="60" t="n"/>
      <c r="D749" s="60" t="n"/>
    </row>
    <row r="750">
      <c r="C750" s="60" t="n"/>
      <c r="D750" s="60" t="n"/>
    </row>
    <row r="751">
      <c r="C751" s="60" t="n"/>
      <c r="D751" s="60" t="n"/>
    </row>
    <row r="752">
      <c r="C752" s="60" t="n"/>
      <c r="D752" s="60" t="n"/>
    </row>
    <row r="753">
      <c r="C753" s="60" t="n"/>
      <c r="D753" s="60" t="n"/>
    </row>
    <row r="754">
      <c r="C754" s="60" t="n"/>
      <c r="D754" s="60" t="n"/>
    </row>
    <row r="755">
      <c r="C755" s="60" t="n"/>
      <c r="D755" s="60" t="n"/>
    </row>
    <row r="756">
      <c r="C756" s="60" t="n"/>
      <c r="D756" s="60" t="n"/>
    </row>
    <row r="757">
      <c r="C757" s="60" t="n"/>
      <c r="D757" s="60" t="n"/>
    </row>
    <row r="758">
      <c r="C758" s="60" t="n"/>
      <c r="D758" s="60" t="n"/>
    </row>
    <row r="759">
      <c r="C759" s="60" t="n"/>
      <c r="D759" s="60" t="n"/>
    </row>
    <row r="760">
      <c r="C760" s="60" t="n"/>
      <c r="D760" s="60" t="n"/>
    </row>
    <row r="761">
      <c r="C761" s="60" t="n"/>
      <c r="D761" s="60" t="n"/>
    </row>
    <row r="762">
      <c r="C762" s="60" t="n"/>
      <c r="D762" s="60" t="n"/>
    </row>
    <row r="763">
      <c r="C763" s="60" t="n"/>
      <c r="D763" s="60" t="n"/>
    </row>
    <row r="764">
      <c r="C764" s="60" t="n"/>
      <c r="D764" s="60" t="n"/>
    </row>
    <row r="765">
      <c r="C765" s="60" t="n"/>
      <c r="D765" s="60" t="n"/>
    </row>
    <row r="766">
      <c r="C766" s="60" t="n"/>
      <c r="D766" s="60" t="n"/>
    </row>
    <row r="767">
      <c r="C767" s="60" t="n"/>
      <c r="D767" s="60" t="n"/>
    </row>
    <row r="768">
      <c r="C768" s="60" t="n"/>
      <c r="D768" s="60" t="n"/>
    </row>
    <row r="769">
      <c r="C769" s="60" t="n"/>
      <c r="D769" s="60" t="n"/>
    </row>
    <row r="770">
      <c r="C770" s="60" t="n"/>
      <c r="D770" s="60" t="n"/>
    </row>
    <row r="771">
      <c r="C771" s="60" t="n"/>
      <c r="D771" s="60" t="n"/>
    </row>
    <row r="772">
      <c r="C772" s="60" t="n"/>
      <c r="D772" s="60" t="n"/>
    </row>
    <row r="773">
      <c r="C773" s="60" t="n"/>
      <c r="D773" s="60" t="n"/>
    </row>
    <row r="774">
      <c r="C774" s="60" t="n"/>
      <c r="D774" s="60" t="n"/>
    </row>
    <row r="775">
      <c r="C775" s="60" t="n"/>
      <c r="D775" s="60" t="n"/>
    </row>
    <row r="776">
      <c r="C776" s="60" t="n"/>
      <c r="D776" s="60" t="n"/>
    </row>
    <row r="777">
      <c r="C777" s="60" t="n"/>
      <c r="D777" s="60" t="n"/>
    </row>
    <row r="778">
      <c r="C778" s="60" t="n"/>
      <c r="D778" s="60" t="n"/>
    </row>
    <row r="779">
      <c r="C779" s="60" t="n"/>
      <c r="D779" s="60" t="n"/>
    </row>
    <row r="780">
      <c r="C780" s="60" t="n"/>
      <c r="D780" s="60" t="n"/>
    </row>
    <row r="781">
      <c r="C781" s="60" t="n"/>
      <c r="D781" s="60" t="n"/>
    </row>
    <row r="782">
      <c r="C782" s="60" t="n"/>
      <c r="D782" s="60" t="n"/>
    </row>
    <row r="783">
      <c r="C783" s="60" t="n"/>
      <c r="D783" s="60" t="n"/>
    </row>
    <row r="784">
      <c r="C784" s="60" t="n"/>
      <c r="D784" s="60" t="n"/>
    </row>
    <row r="785">
      <c r="C785" s="60" t="n"/>
      <c r="D785" s="60" t="n"/>
    </row>
    <row r="786">
      <c r="C786" s="60" t="n"/>
      <c r="D786" s="60" t="n"/>
    </row>
    <row r="787">
      <c r="C787" s="60" t="n"/>
      <c r="D787" s="60" t="n"/>
    </row>
    <row r="788">
      <c r="C788" s="60" t="n"/>
      <c r="D788" s="60" t="n"/>
    </row>
    <row r="789">
      <c r="C789" s="60" t="n"/>
      <c r="D789" s="60" t="n"/>
    </row>
    <row r="790">
      <c r="C790" s="60" t="n"/>
      <c r="D790" s="60" t="n"/>
    </row>
    <row r="791">
      <c r="C791" s="60" t="n"/>
      <c r="D791" s="60" t="n"/>
    </row>
    <row r="792">
      <c r="C792" s="60" t="n"/>
      <c r="D792" s="60" t="n"/>
    </row>
    <row r="793">
      <c r="C793" s="60" t="n"/>
      <c r="D793" s="60" t="n"/>
    </row>
    <row r="794">
      <c r="C794" s="60" t="n"/>
      <c r="D794" s="60" t="n"/>
    </row>
    <row r="795">
      <c r="C795" s="60" t="n"/>
      <c r="D795" s="60" t="n"/>
    </row>
    <row r="796">
      <c r="C796" s="60" t="n"/>
      <c r="D796" s="60" t="n"/>
    </row>
    <row r="797">
      <c r="C797" s="60" t="n"/>
      <c r="D797" s="60" t="n"/>
    </row>
    <row r="798">
      <c r="C798" s="60" t="n"/>
      <c r="D798" s="60" t="n"/>
    </row>
    <row r="799">
      <c r="C799" s="60" t="n"/>
      <c r="D799" s="60" t="n"/>
    </row>
    <row r="800">
      <c r="C800" s="60" t="n"/>
      <c r="D800" s="60" t="n"/>
    </row>
    <row r="801">
      <c r="C801" s="60" t="n"/>
      <c r="D801" s="60" t="n"/>
    </row>
    <row r="802">
      <c r="C802" s="60" t="n"/>
      <c r="D802" s="60" t="n"/>
    </row>
    <row r="803">
      <c r="C803" s="60" t="n"/>
      <c r="D803" s="60" t="n"/>
    </row>
    <row r="804">
      <c r="C804" s="60" t="n"/>
      <c r="D804" s="60" t="n"/>
    </row>
    <row r="805">
      <c r="C805" s="60" t="n"/>
      <c r="D805" s="60" t="n"/>
    </row>
    <row r="806">
      <c r="C806" s="60" t="n"/>
      <c r="D806" s="60" t="n"/>
    </row>
    <row r="807">
      <c r="C807" s="60" t="n"/>
      <c r="D807" s="60" t="n"/>
    </row>
    <row r="808">
      <c r="C808" s="60" t="n"/>
      <c r="D808" s="60" t="n"/>
    </row>
    <row r="809">
      <c r="C809" s="60" t="n"/>
      <c r="D809" s="60" t="n"/>
    </row>
    <row r="810">
      <c r="C810" s="60" t="n"/>
      <c r="D810" s="60" t="n"/>
    </row>
    <row r="811">
      <c r="C811" s="60" t="n"/>
      <c r="D811" s="60" t="n"/>
    </row>
    <row r="812">
      <c r="C812" s="60" t="n"/>
      <c r="D812" s="60" t="n"/>
    </row>
    <row r="813">
      <c r="C813" s="60" t="n"/>
      <c r="D813" s="60" t="n"/>
    </row>
    <row r="814">
      <c r="C814" s="60" t="n"/>
      <c r="D814" s="60" t="n"/>
    </row>
    <row r="815">
      <c r="C815" s="60" t="n"/>
      <c r="D815" s="60" t="n"/>
    </row>
    <row r="816">
      <c r="C816" s="60" t="n"/>
      <c r="D816" s="60" t="n"/>
    </row>
    <row r="817">
      <c r="C817" s="60" t="n"/>
      <c r="D817" s="60" t="n"/>
    </row>
    <row r="818">
      <c r="C818" s="60" t="n"/>
      <c r="D818" s="60" t="n"/>
    </row>
    <row r="819">
      <c r="C819" s="60" t="n"/>
      <c r="D819" s="60" t="n"/>
    </row>
    <row r="820">
      <c r="C820" s="60" t="n"/>
      <c r="D820" s="60" t="n"/>
    </row>
    <row r="821">
      <c r="C821" s="60" t="n"/>
      <c r="D821" s="60" t="n"/>
    </row>
    <row r="822">
      <c r="C822" s="60" t="n"/>
      <c r="D822" s="60" t="n"/>
    </row>
    <row r="823">
      <c r="C823" s="60" t="n"/>
      <c r="D823" s="60" t="n"/>
    </row>
    <row r="824">
      <c r="C824" s="60" t="n"/>
      <c r="D824" s="60" t="n"/>
    </row>
    <row r="825">
      <c r="C825" s="60" t="n"/>
      <c r="D825" s="60" t="n"/>
    </row>
    <row r="826">
      <c r="C826" s="60" t="n"/>
      <c r="D826" s="60" t="n"/>
    </row>
    <row r="827">
      <c r="C827" s="60" t="n"/>
      <c r="D827" s="60" t="n"/>
    </row>
    <row r="828">
      <c r="C828" s="60" t="n"/>
      <c r="D828" s="60" t="n"/>
    </row>
    <row r="829">
      <c r="C829" s="60" t="n"/>
      <c r="D829" s="60" t="n"/>
    </row>
    <row r="830">
      <c r="C830" s="60" t="n"/>
      <c r="D830" s="60" t="n"/>
    </row>
    <row r="831">
      <c r="C831" s="60" t="n"/>
      <c r="D831" s="60" t="n"/>
    </row>
    <row r="832">
      <c r="C832" s="60" t="n"/>
      <c r="D832" s="60" t="n"/>
    </row>
    <row r="833">
      <c r="C833" s="60" t="n"/>
      <c r="D833" s="60" t="n"/>
    </row>
    <row r="834">
      <c r="C834" s="60" t="n"/>
      <c r="D834" s="60" t="n"/>
    </row>
    <row r="835">
      <c r="C835" s="60" t="n"/>
      <c r="D835" s="60" t="n"/>
    </row>
    <row r="836">
      <c r="C836" s="60" t="n"/>
      <c r="D836" s="60" t="n"/>
    </row>
    <row r="837">
      <c r="C837" s="60" t="n"/>
      <c r="D837" s="60" t="n"/>
    </row>
    <row r="838">
      <c r="C838" s="60" t="n"/>
      <c r="D838" s="60" t="n"/>
    </row>
    <row r="839">
      <c r="C839" s="60" t="n"/>
      <c r="D839" s="60" t="n"/>
    </row>
    <row r="840">
      <c r="C840" s="60" t="n"/>
      <c r="D840" s="60" t="n"/>
    </row>
    <row r="841">
      <c r="C841" s="60" t="n"/>
      <c r="D841" s="60" t="n"/>
    </row>
    <row r="842">
      <c r="C842" s="60" t="n"/>
      <c r="D842" s="60" t="n"/>
    </row>
    <row r="843">
      <c r="C843" s="60" t="n"/>
      <c r="D843" s="60" t="n"/>
    </row>
    <row r="844">
      <c r="C844" s="60" t="n"/>
      <c r="D844" s="60" t="n"/>
    </row>
    <row r="845">
      <c r="C845" s="60" t="n"/>
      <c r="D845" s="60" t="n"/>
    </row>
    <row r="846">
      <c r="C846" s="60" t="n"/>
      <c r="D846" s="60" t="n"/>
    </row>
    <row r="847">
      <c r="C847" s="60" t="n"/>
      <c r="D847" s="60" t="n"/>
    </row>
    <row r="848">
      <c r="C848" s="60" t="n"/>
      <c r="D848" s="60" t="n"/>
    </row>
    <row r="849">
      <c r="C849" s="60" t="n"/>
      <c r="D849" s="60" t="n"/>
    </row>
    <row r="850">
      <c r="C850" s="60" t="n"/>
      <c r="D850" s="60" t="n"/>
    </row>
    <row r="851">
      <c r="C851" s="60" t="n"/>
      <c r="D851" s="60" t="n"/>
    </row>
    <row r="852">
      <c r="C852" s="60" t="n"/>
      <c r="D852" s="60" t="n"/>
    </row>
    <row r="853">
      <c r="C853" s="60" t="n"/>
      <c r="D853" s="60" t="n"/>
    </row>
    <row r="854">
      <c r="C854" s="60" t="n"/>
      <c r="D854" s="60" t="n"/>
    </row>
    <row r="855">
      <c r="C855" s="60" t="n"/>
      <c r="D855" s="60" t="n"/>
    </row>
    <row r="856">
      <c r="C856" s="60" t="n"/>
      <c r="D856" s="60" t="n"/>
    </row>
    <row r="857">
      <c r="C857" s="60" t="n"/>
      <c r="D857" s="60" t="n"/>
    </row>
    <row r="858">
      <c r="C858" s="60" t="n"/>
      <c r="D858" s="60" t="n"/>
    </row>
    <row r="859">
      <c r="C859" s="60" t="n"/>
      <c r="D859" s="60" t="n"/>
    </row>
    <row r="860">
      <c r="C860" s="60" t="n"/>
      <c r="D860" s="60" t="n"/>
    </row>
    <row r="861">
      <c r="C861" s="60" t="n"/>
      <c r="D861" s="60" t="n"/>
    </row>
    <row r="862">
      <c r="C862" s="60" t="n"/>
      <c r="D862" s="60" t="n"/>
    </row>
    <row r="863">
      <c r="C863" s="60" t="n"/>
      <c r="D863" s="60" t="n"/>
    </row>
    <row r="864">
      <c r="C864" s="60" t="n"/>
      <c r="D864" s="60" t="n"/>
    </row>
    <row r="865">
      <c r="C865" s="60" t="n"/>
      <c r="D865" s="60" t="n"/>
    </row>
    <row r="866">
      <c r="C866" s="60" t="n"/>
      <c r="D866" s="60" t="n"/>
    </row>
    <row r="867">
      <c r="C867" s="60" t="n"/>
      <c r="D867" s="60" t="n"/>
    </row>
    <row r="868">
      <c r="C868" s="60" t="n"/>
      <c r="D868" s="60" t="n"/>
    </row>
    <row r="869">
      <c r="C869" s="60" t="n"/>
      <c r="D869" s="60" t="n"/>
    </row>
    <row r="870">
      <c r="C870" s="60" t="n"/>
      <c r="D870" s="60" t="n"/>
    </row>
    <row r="871">
      <c r="C871" s="60" t="n"/>
      <c r="D871" s="60" t="n"/>
    </row>
    <row r="872">
      <c r="C872" s="60" t="n"/>
      <c r="D872" s="60" t="n"/>
    </row>
    <row r="873">
      <c r="C873" s="60" t="n"/>
      <c r="D873" s="60" t="n"/>
    </row>
    <row r="874">
      <c r="C874" s="60" t="n"/>
      <c r="D874" s="60" t="n"/>
    </row>
    <row r="875">
      <c r="C875" s="60" t="n"/>
      <c r="D875" s="60" t="n"/>
    </row>
    <row r="876">
      <c r="C876" s="60" t="n"/>
      <c r="D876" s="60" t="n"/>
    </row>
    <row r="877">
      <c r="C877" s="60" t="n"/>
      <c r="D877" s="60" t="n"/>
    </row>
    <row r="878">
      <c r="C878" s="60" t="n"/>
      <c r="D878" s="60" t="n"/>
    </row>
    <row r="879">
      <c r="C879" s="60" t="n"/>
      <c r="D879" s="60" t="n"/>
    </row>
    <row r="880">
      <c r="C880" s="60" t="n"/>
      <c r="D880" s="60" t="n"/>
    </row>
    <row r="881">
      <c r="C881" s="60" t="n"/>
      <c r="D881" s="60" t="n"/>
    </row>
    <row r="882">
      <c r="C882" s="60" t="n"/>
      <c r="D882" s="60" t="n"/>
    </row>
    <row r="883">
      <c r="C883" s="60" t="n"/>
      <c r="D883" s="60" t="n"/>
    </row>
    <row r="884">
      <c r="C884" s="60" t="n"/>
      <c r="D884" s="60" t="n"/>
    </row>
    <row r="885">
      <c r="C885" s="60" t="n"/>
      <c r="D885" s="60" t="n"/>
    </row>
    <row r="886">
      <c r="C886" s="60" t="n"/>
      <c r="D886" s="60" t="n"/>
    </row>
    <row r="887">
      <c r="C887" s="60" t="n"/>
      <c r="D887" s="60" t="n"/>
    </row>
    <row r="888">
      <c r="C888" s="60" t="n"/>
      <c r="D888" s="60" t="n"/>
    </row>
    <row r="889">
      <c r="C889" s="60" t="n"/>
      <c r="D889" s="60" t="n"/>
    </row>
    <row r="890">
      <c r="C890" s="60" t="n"/>
      <c r="D890" s="60" t="n"/>
    </row>
    <row r="891">
      <c r="C891" s="60" t="n"/>
      <c r="D891" s="60" t="n"/>
    </row>
    <row r="892">
      <c r="C892" s="60" t="n"/>
      <c r="D892" s="60" t="n"/>
    </row>
    <row r="893">
      <c r="C893" s="60" t="n"/>
      <c r="D893" s="60" t="n"/>
    </row>
    <row r="894">
      <c r="C894" s="60" t="n"/>
      <c r="D894" s="60" t="n"/>
    </row>
    <row r="895">
      <c r="C895" s="60" t="n"/>
      <c r="D895" s="60" t="n"/>
    </row>
    <row r="896">
      <c r="C896" s="60" t="n"/>
      <c r="D896" s="60" t="n"/>
    </row>
    <row r="897">
      <c r="C897" s="60" t="n"/>
      <c r="D897" s="60" t="n"/>
    </row>
    <row r="898">
      <c r="C898" s="60" t="n"/>
      <c r="D898" s="60" t="n"/>
    </row>
    <row r="899">
      <c r="C899" s="60" t="n"/>
      <c r="D899" s="60" t="n"/>
    </row>
    <row r="900">
      <c r="C900" s="60" t="n"/>
      <c r="D900" s="60" t="n"/>
    </row>
    <row r="901">
      <c r="C901" s="60" t="n"/>
      <c r="D901" s="60" t="n"/>
    </row>
    <row r="902">
      <c r="C902" s="60" t="n"/>
      <c r="D902" s="60" t="n"/>
    </row>
    <row r="903">
      <c r="C903" s="60" t="n"/>
      <c r="D903" s="60" t="n"/>
    </row>
    <row r="904">
      <c r="C904" s="60" t="n"/>
      <c r="D904" s="60" t="n"/>
    </row>
    <row r="905">
      <c r="C905" s="60" t="n"/>
      <c r="D905" s="60" t="n"/>
    </row>
    <row r="906">
      <c r="C906" s="60" t="n"/>
      <c r="D906" s="60" t="n"/>
    </row>
    <row r="907">
      <c r="C907" s="60" t="n"/>
      <c r="D907" s="60" t="n"/>
    </row>
    <row r="908">
      <c r="C908" s="60" t="n"/>
      <c r="D908" s="60" t="n"/>
    </row>
    <row r="909">
      <c r="C909" s="60" t="n"/>
      <c r="D909" s="60" t="n"/>
    </row>
    <row r="910">
      <c r="C910" s="60" t="n"/>
      <c r="D910" s="60" t="n"/>
    </row>
    <row r="911">
      <c r="C911" s="60" t="n"/>
      <c r="D911" s="60" t="n"/>
    </row>
    <row r="912">
      <c r="C912" s="60" t="n"/>
      <c r="D912" s="60" t="n"/>
    </row>
    <row r="913">
      <c r="C913" s="60" t="n"/>
      <c r="D913" s="60" t="n"/>
    </row>
    <row r="914">
      <c r="C914" s="60" t="n"/>
      <c r="D914" s="60" t="n"/>
    </row>
    <row r="915">
      <c r="C915" s="60" t="n"/>
      <c r="D915" s="60" t="n"/>
    </row>
    <row r="916">
      <c r="C916" s="60" t="n"/>
      <c r="D916" s="60" t="n"/>
    </row>
    <row r="917">
      <c r="C917" s="60" t="n"/>
      <c r="D917" s="60" t="n"/>
    </row>
    <row r="918">
      <c r="C918" s="60" t="n"/>
      <c r="D918" s="60" t="n"/>
    </row>
    <row r="919">
      <c r="C919" s="60" t="n"/>
      <c r="D919" s="60" t="n"/>
    </row>
    <row r="920">
      <c r="C920" s="60" t="n"/>
      <c r="D920" s="60" t="n"/>
    </row>
    <row r="921">
      <c r="C921" s="60" t="n"/>
      <c r="D921" s="60" t="n"/>
    </row>
    <row r="922">
      <c r="C922" s="60" t="n"/>
      <c r="D922" s="60" t="n"/>
    </row>
    <row r="923">
      <c r="C923" s="60" t="n"/>
      <c r="D923" s="60" t="n"/>
    </row>
    <row r="924">
      <c r="C924" s="60" t="n"/>
      <c r="D924" s="60" t="n"/>
    </row>
    <row r="925">
      <c r="C925" s="60" t="n"/>
      <c r="D925" s="60" t="n"/>
    </row>
    <row r="926">
      <c r="C926" s="60" t="n"/>
      <c r="D926" s="60" t="n"/>
    </row>
    <row r="927">
      <c r="C927" s="60" t="n"/>
      <c r="D927" s="60" t="n"/>
    </row>
    <row r="928">
      <c r="C928" s="60" t="n"/>
      <c r="D928" s="60" t="n"/>
    </row>
    <row r="929">
      <c r="C929" s="60" t="n"/>
      <c r="D929" s="60" t="n"/>
    </row>
    <row r="930">
      <c r="C930" s="60" t="n"/>
      <c r="D930" s="60" t="n"/>
    </row>
    <row r="931">
      <c r="C931" s="60" t="n"/>
      <c r="D931" s="60" t="n"/>
    </row>
    <row r="932">
      <c r="C932" s="60" t="n"/>
      <c r="D932" s="60" t="n"/>
    </row>
    <row r="933">
      <c r="C933" s="60" t="n"/>
      <c r="D933" s="60" t="n"/>
    </row>
    <row r="934">
      <c r="C934" s="60" t="n"/>
      <c r="D934" s="60" t="n"/>
    </row>
    <row r="935">
      <c r="C935" s="60" t="n"/>
      <c r="D935" s="60" t="n"/>
    </row>
    <row r="936">
      <c r="C936" s="60" t="n"/>
      <c r="D936" s="60" t="n"/>
    </row>
    <row r="937">
      <c r="C937" s="60" t="n"/>
      <c r="D937" s="60" t="n"/>
    </row>
    <row r="938">
      <c r="C938" s="60" t="n"/>
      <c r="D938" s="60" t="n"/>
    </row>
    <row r="939">
      <c r="C939" s="60" t="n"/>
      <c r="D939" s="60" t="n"/>
    </row>
    <row r="940">
      <c r="C940" s="60" t="n"/>
      <c r="D940" s="60" t="n"/>
    </row>
    <row r="941">
      <c r="C941" s="60" t="n"/>
      <c r="D941" s="60" t="n"/>
    </row>
    <row r="942">
      <c r="C942" s="60" t="n"/>
      <c r="D942" s="60" t="n"/>
    </row>
    <row r="943">
      <c r="C943" s="60" t="n"/>
      <c r="D943" s="60" t="n"/>
    </row>
    <row r="944">
      <c r="C944" s="60" t="n"/>
      <c r="D944" s="60" t="n"/>
    </row>
    <row r="945">
      <c r="C945" s="60" t="n"/>
      <c r="D945" s="60" t="n"/>
    </row>
    <row r="946">
      <c r="C946" s="60" t="n"/>
      <c r="D946" s="60" t="n"/>
    </row>
    <row r="947">
      <c r="C947" s="60" t="n"/>
      <c r="D947" s="60" t="n"/>
    </row>
    <row r="948">
      <c r="C948" s="60" t="n"/>
      <c r="D948" s="60" t="n"/>
    </row>
    <row r="949">
      <c r="C949" s="60" t="n"/>
      <c r="D949" s="60" t="n"/>
    </row>
    <row r="950">
      <c r="C950" s="60" t="n"/>
      <c r="D950" s="60" t="n"/>
    </row>
    <row r="951">
      <c r="C951" s="60" t="n"/>
      <c r="D951" s="60" t="n"/>
    </row>
    <row r="952">
      <c r="C952" s="60" t="n"/>
      <c r="D952" s="60" t="n"/>
    </row>
    <row r="953">
      <c r="C953" s="60" t="n"/>
      <c r="D953" s="60" t="n"/>
    </row>
    <row r="954">
      <c r="C954" s="60" t="n"/>
      <c r="D954" s="60" t="n"/>
    </row>
    <row r="955">
      <c r="C955" s="60" t="n"/>
      <c r="D955" s="60" t="n"/>
    </row>
    <row r="956">
      <c r="C956" s="60" t="n"/>
      <c r="D956" s="60" t="n"/>
    </row>
    <row r="957">
      <c r="C957" s="60" t="n"/>
      <c r="D957" s="60" t="n"/>
    </row>
    <row r="958">
      <c r="C958" s="60" t="n"/>
      <c r="D958" s="60" t="n"/>
    </row>
    <row r="959">
      <c r="C959" s="60" t="n"/>
      <c r="D959" s="60" t="n"/>
    </row>
    <row r="960">
      <c r="C960" s="60" t="n"/>
      <c r="D960" s="60" t="n"/>
    </row>
    <row r="961">
      <c r="C961" s="60" t="n"/>
      <c r="D961" s="60" t="n"/>
    </row>
    <row r="962">
      <c r="C962" s="60" t="n"/>
      <c r="D962" s="60" t="n"/>
    </row>
    <row r="963">
      <c r="C963" s="60" t="n"/>
      <c r="D963" s="60" t="n"/>
    </row>
    <row r="964">
      <c r="C964" s="60" t="n"/>
      <c r="D964" s="60" t="n"/>
    </row>
    <row r="965">
      <c r="C965" s="60" t="n"/>
      <c r="D965" s="60" t="n"/>
    </row>
    <row r="966">
      <c r="C966" s="60" t="n"/>
      <c r="D966" s="60" t="n"/>
    </row>
    <row r="967">
      <c r="C967" s="60" t="n"/>
      <c r="D967" s="60" t="n"/>
    </row>
    <row r="968">
      <c r="C968" s="60" t="n"/>
      <c r="D968" s="60" t="n"/>
    </row>
    <row r="969">
      <c r="C969" s="60" t="n"/>
      <c r="D969" s="60" t="n"/>
    </row>
    <row r="970">
      <c r="C970" s="60" t="n"/>
      <c r="D970" s="60" t="n"/>
    </row>
    <row r="971">
      <c r="C971" s="60" t="n"/>
      <c r="D971" s="60" t="n"/>
    </row>
    <row r="972">
      <c r="C972" s="60" t="n"/>
      <c r="D972" s="60" t="n"/>
    </row>
    <row r="973">
      <c r="C973" s="60" t="n"/>
      <c r="D973" s="60" t="n"/>
    </row>
    <row r="974">
      <c r="C974" s="60" t="n"/>
      <c r="D974" s="60" t="n"/>
    </row>
    <row r="975">
      <c r="C975" s="60" t="n"/>
      <c r="D975" s="60" t="n"/>
    </row>
    <row r="976">
      <c r="C976" s="60" t="n"/>
      <c r="D976" s="60" t="n"/>
    </row>
    <row r="977">
      <c r="C977" s="60" t="n"/>
      <c r="D977" s="60" t="n"/>
    </row>
    <row r="978">
      <c r="C978" s="60" t="n"/>
      <c r="D978" s="60" t="n"/>
    </row>
    <row r="979">
      <c r="C979" s="60" t="n"/>
      <c r="D979" s="60" t="n"/>
    </row>
    <row r="980">
      <c r="C980" s="60" t="n"/>
      <c r="D980" s="60" t="n"/>
    </row>
    <row r="981">
      <c r="C981" s="60" t="n"/>
      <c r="D981" s="60" t="n"/>
    </row>
    <row r="982">
      <c r="C982" s="60" t="n"/>
      <c r="D982" s="60" t="n"/>
    </row>
    <row r="983">
      <c r="C983" s="60" t="n"/>
      <c r="D983" s="60" t="n"/>
    </row>
    <row r="984">
      <c r="C984" s="60" t="n"/>
      <c r="D984" s="60" t="n"/>
    </row>
    <row r="985">
      <c r="C985" s="60" t="n"/>
      <c r="D985" s="60" t="n"/>
    </row>
    <row r="986">
      <c r="C986" s="60" t="n"/>
      <c r="D986" s="60" t="n"/>
    </row>
    <row r="987">
      <c r="C987" s="60" t="n"/>
      <c r="D987" s="60" t="n"/>
    </row>
    <row r="988">
      <c r="C988" s="60" t="n"/>
      <c r="D988" s="60" t="n"/>
    </row>
    <row r="989">
      <c r="C989" s="60" t="n"/>
      <c r="D989" s="60" t="n"/>
    </row>
    <row r="990">
      <c r="C990" s="60" t="n"/>
      <c r="D990" s="60" t="n"/>
    </row>
    <row r="991">
      <c r="C991" s="60" t="n"/>
      <c r="D991" s="60" t="n"/>
    </row>
    <row r="992">
      <c r="C992" s="60" t="n"/>
      <c r="D992" s="60" t="n"/>
    </row>
    <row r="993">
      <c r="C993" s="60" t="n"/>
      <c r="D993" s="60" t="n"/>
    </row>
    <row r="994">
      <c r="C994" s="60" t="n"/>
      <c r="D994" s="60" t="n"/>
    </row>
    <row r="995">
      <c r="C995" s="60" t="n"/>
      <c r="D995" s="60" t="n"/>
    </row>
    <row r="996">
      <c r="C996" s="60" t="n"/>
      <c r="D996" s="60" t="n"/>
    </row>
    <row r="997">
      <c r="C997" s="60" t="n"/>
      <c r="D997" s="60" t="n"/>
    </row>
    <row r="998">
      <c r="C998" s="60" t="n"/>
      <c r="D998" s="60" t="n"/>
    </row>
    <row r="999">
      <c r="C999" s="60" t="n"/>
      <c r="D999" s="60" t="n"/>
    </row>
    <row r="1000">
      <c r="C1000" s="60" t="n"/>
      <c r="D1000" s="60" t="n"/>
    </row>
    <row r="1001">
      <c r="C1001" s="60" t="n"/>
      <c r="D1001" s="60" t="n"/>
    </row>
    <row r="1002">
      <c r="C1002" s="60" t="n"/>
      <c r="D1002" s="60" t="n"/>
    </row>
    <row r="1003">
      <c r="C1003" s="60" t="n"/>
      <c r="D1003" s="60" t="n"/>
    </row>
    <row r="1004">
      <c r="C1004" s="60" t="n"/>
      <c r="D1004" s="60" t="n"/>
    </row>
    <row r="1005">
      <c r="C1005" s="60" t="n"/>
      <c r="D1005" s="60" t="n"/>
    </row>
    <row r="1006">
      <c r="C1006" s="60" t="n"/>
      <c r="D1006" s="60" t="n"/>
    </row>
    <row r="1007">
      <c r="C1007" s="60" t="n"/>
      <c r="D1007" s="60" t="n"/>
    </row>
    <row r="1008">
      <c r="C1008" s="60" t="n"/>
      <c r="D1008" s="60" t="n"/>
    </row>
    <row r="1009">
      <c r="C1009" s="60" t="n"/>
      <c r="D1009" s="60" t="n"/>
    </row>
    <row r="1010">
      <c r="C1010" s="60" t="n"/>
      <c r="D1010" s="60" t="n"/>
    </row>
    <row r="1011">
      <c r="C1011" s="60" t="n"/>
      <c r="D1011" s="60" t="n"/>
    </row>
    <row r="1012">
      <c r="C1012" s="60" t="n"/>
      <c r="D1012" s="60" t="n"/>
    </row>
    <row r="1013">
      <c r="C1013" s="60" t="n"/>
      <c r="D1013" s="60" t="n"/>
    </row>
    <row r="1014">
      <c r="C1014" s="60" t="n"/>
      <c r="D1014" s="60" t="n"/>
    </row>
    <row r="1015">
      <c r="C1015" s="60" t="n"/>
      <c r="D1015" s="60" t="n"/>
    </row>
    <row r="1016">
      <c r="C1016" s="60" t="n"/>
      <c r="D1016" s="60" t="n"/>
    </row>
    <row r="1017">
      <c r="C1017" s="60" t="n"/>
      <c r="D1017" s="60" t="n"/>
    </row>
    <row r="1018">
      <c r="C1018" s="60" t="n"/>
      <c r="D1018" s="60" t="n"/>
    </row>
    <row r="1019">
      <c r="C1019" s="60" t="n"/>
      <c r="D1019" s="60" t="n"/>
    </row>
    <row r="1020">
      <c r="C1020" s="60" t="n"/>
      <c r="D1020" s="60" t="n"/>
    </row>
    <row r="1021">
      <c r="C1021" s="60" t="n"/>
      <c r="D1021" s="60" t="n"/>
    </row>
    <row r="1022">
      <c r="C1022" s="60" t="n"/>
      <c r="D1022" s="60" t="n"/>
    </row>
    <row r="1023">
      <c r="C1023" s="60" t="n"/>
      <c r="D1023" s="60" t="n"/>
    </row>
    <row r="1024">
      <c r="C1024" s="60" t="n"/>
      <c r="D1024" s="60" t="n"/>
    </row>
    <row r="1025">
      <c r="C1025" s="60" t="n"/>
      <c r="D1025" s="60" t="n"/>
    </row>
    <row r="1026">
      <c r="C1026" s="60" t="n"/>
      <c r="D1026" s="60" t="n"/>
    </row>
    <row r="1027">
      <c r="C1027" s="60" t="n"/>
      <c r="D1027" s="60" t="n"/>
    </row>
    <row r="1028">
      <c r="C1028" s="60" t="n"/>
      <c r="D1028" s="60" t="n"/>
    </row>
    <row r="1029">
      <c r="C1029" s="60" t="n"/>
      <c r="D1029" s="60" t="n"/>
    </row>
    <row r="1030">
      <c r="C1030" s="60" t="n"/>
      <c r="D1030" s="60" t="n"/>
    </row>
    <row r="1031">
      <c r="C1031" s="60" t="n"/>
      <c r="D1031" s="60" t="n"/>
    </row>
    <row r="1032">
      <c r="C1032" s="60" t="n"/>
      <c r="D1032" s="60" t="n"/>
    </row>
    <row r="1033">
      <c r="C1033" s="60" t="n"/>
      <c r="D1033" s="60" t="n"/>
    </row>
    <row r="1034">
      <c r="C1034" s="60" t="n"/>
      <c r="D1034" s="60" t="n"/>
    </row>
    <row r="1035">
      <c r="C1035" s="60" t="n"/>
      <c r="D1035" s="60" t="n"/>
    </row>
    <row r="1036">
      <c r="C1036" s="60" t="n"/>
      <c r="D1036" s="60" t="n"/>
    </row>
    <row r="1037">
      <c r="C1037" s="60" t="n"/>
      <c r="D1037" s="60" t="n"/>
    </row>
    <row r="1038">
      <c r="C1038" s="60" t="n"/>
      <c r="D1038" s="60" t="n"/>
    </row>
    <row r="1039">
      <c r="C1039" s="60" t="n"/>
      <c r="D1039" s="60" t="n"/>
    </row>
    <row r="1040">
      <c r="C1040" s="60" t="n"/>
      <c r="D1040" s="60" t="n"/>
    </row>
    <row r="1041">
      <c r="C1041" s="60" t="n"/>
      <c r="D1041" s="60" t="n"/>
    </row>
    <row r="1042">
      <c r="C1042" s="60" t="n"/>
      <c r="D1042" s="60" t="n"/>
    </row>
    <row r="1043">
      <c r="C1043" s="60" t="n"/>
      <c r="D1043" s="60" t="n"/>
    </row>
    <row r="1044">
      <c r="C1044" s="60" t="n"/>
      <c r="D1044" s="60" t="n"/>
    </row>
    <row r="1045">
      <c r="C1045" s="60" t="n"/>
      <c r="D1045" s="60" t="n"/>
    </row>
    <row r="1046">
      <c r="C1046" s="60" t="n"/>
      <c r="D1046" s="60" t="n"/>
    </row>
    <row r="1047">
      <c r="C1047" s="60" t="n"/>
      <c r="D1047" s="60" t="n"/>
    </row>
    <row r="1048">
      <c r="C1048" s="60" t="n"/>
      <c r="D1048" s="60" t="n"/>
    </row>
    <row r="1049">
      <c r="C1049" s="60" t="n"/>
      <c r="D1049" s="60" t="n"/>
    </row>
    <row r="1050">
      <c r="C1050" s="60" t="n"/>
      <c r="D1050" s="60" t="n"/>
    </row>
    <row r="1051">
      <c r="C1051" s="60" t="n"/>
      <c r="D1051" s="60" t="n"/>
    </row>
    <row r="1052">
      <c r="C1052" s="60" t="n"/>
      <c r="D1052" s="60" t="n"/>
    </row>
    <row r="1053">
      <c r="C1053" s="60" t="n"/>
      <c r="D1053" s="60" t="n"/>
    </row>
    <row r="1054">
      <c r="C1054" s="60" t="n"/>
      <c r="D1054" s="60" t="n"/>
    </row>
    <row r="1055">
      <c r="C1055" s="60" t="n"/>
      <c r="D1055" s="60" t="n"/>
    </row>
    <row r="1056">
      <c r="C1056" s="60" t="n"/>
      <c r="D1056" s="60" t="n"/>
    </row>
    <row r="1057">
      <c r="C1057" s="60" t="n"/>
      <c r="D1057" s="60" t="n"/>
    </row>
    <row r="1058">
      <c r="C1058" s="60" t="n"/>
      <c r="D1058" s="60" t="n"/>
    </row>
    <row r="1059">
      <c r="C1059" s="60" t="n"/>
      <c r="D1059" s="60" t="n"/>
    </row>
    <row r="1060">
      <c r="C1060" s="60" t="n"/>
      <c r="D1060" s="60" t="n"/>
    </row>
    <row r="1061">
      <c r="C1061" s="60" t="n"/>
      <c r="D1061" s="60" t="n"/>
    </row>
    <row r="1062">
      <c r="C1062" s="60" t="n"/>
      <c r="D1062" s="60" t="n"/>
    </row>
    <row r="1063">
      <c r="C1063" s="60" t="n"/>
      <c r="D1063" s="60" t="n"/>
    </row>
    <row r="1064">
      <c r="C1064" s="60" t="n"/>
      <c r="D1064" s="60" t="n"/>
    </row>
    <row r="1065">
      <c r="C1065" s="60" t="n"/>
      <c r="D1065" s="60" t="n"/>
    </row>
    <row r="1066">
      <c r="C1066" s="60" t="n"/>
      <c r="D1066" s="60" t="n"/>
    </row>
    <row r="1067">
      <c r="C1067" s="60" t="n"/>
      <c r="D1067" s="60" t="n"/>
    </row>
    <row r="1068">
      <c r="C1068" s="60" t="n"/>
      <c r="D1068" s="60" t="n"/>
    </row>
    <row r="1069">
      <c r="C1069" s="60" t="n"/>
      <c r="D1069" s="60" t="n"/>
    </row>
    <row r="1070">
      <c r="C1070" s="60" t="n"/>
      <c r="D1070" s="60" t="n"/>
    </row>
    <row r="1071">
      <c r="C1071" s="60" t="n"/>
      <c r="D1071" s="60" t="n"/>
    </row>
    <row r="1072">
      <c r="C1072" s="60" t="n"/>
      <c r="D1072" s="60" t="n"/>
    </row>
    <row r="1073">
      <c r="C1073" s="60" t="n"/>
      <c r="D1073" s="60" t="n"/>
    </row>
    <row r="1074">
      <c r="C1074" s="60" t="n"/>
      <c r="D1074" s="60" t="n"/>
    </row>
    <row r="1075">
      <c r="C1075" s="60" t="n"/>
      <c r="D1075" s="60" t="n"/>
    </row>
    <row r="1076">
      <c r="C1076" s="60" t="n"/>
      <c r="D1076" s="60" t="n"/>
    </row>
    <row r="1077">
      <c r="C1077" s="60" t="n"/>
      <c r="D1077" s="60" t="n"/>
    </row>
    <row r="1078">
      <c r="C1078" s="60" t="n"/>
      <c r="D1078" s="60" t="n"/>
    </row>
    <row r="1079">
      <c r="C1079" s="60" t="n"/>
      <c r="D1079" s="60" t="n"/>
    </row>
    <row r="1080">
      <c r="C1080" s="60" t="n"/>
      <c r="D1080" s="60" t="n"/>
    </row>
    <row r="1081">
      <c r="C1081" s="60" t="n"/>
      <c r="D1081" s="60" t="n"/>
    </row>
    <row r="1082">
      <c r="C1082" s="60" t="n"/>
      <c r="D1082" s="60" t="n"/>
    </row>
    <row r="1083">
      <c r="C1083" s="60" t="n"/>
      <c r="D1083" s="60" t="n"/>
    </row>
    <row r="1084">
      <c r="C1084" s="60" t="n"/>
      <c r="D1084" s="60" t="n"/>
    </row>
    <row r="1085">
      <c r="C1085" s="60" t="n"/>
      <c r="D1085" s="60" t="n"/>
    </row>
    <row r="1086">
      <c r="C1086" s="60" t="n"/>
      <c r="D1086" s="60" t="n"/>
    </row>
    <row r="1087">
      <c r="C1087" s="60" t="n"/>
      <c r="D1087" s="60" t="n"/>
    </row>
    <row r="1088">
      <c r="C1088" s="60" t="n"/>
      <c r="D1088" s="60" t="n"/>
    </row>
    <row r="1089">
      <c r="C1089" s="60" t="n"/>
      <c r="D1089" s="60" t="n"/>
    </row>
    <row r="1090">
      <c r="C1090" s="60" t="n"/>
      <c r="D1090" s="60" t="n"/>
    </row>
    <row r="1091">
      <c r="C1091" s="60" t="n"/>
      <c r="D1091" s="60" t="n"/>
    </row>
    <row r="1092">
      <c r="C1092" s="60" t="n"/>
      <c r="D1092" s="60" t="n"/>
    </row>
    <row r="1093">
      <c r="C1093" s="60" t="n"/>
      <c r="D1093" s="60" t="n"/>
    </row>
    <row r="1094">
      <c r="C1094" s="60" t="n"/>
      <c r="D1094" s="60" t="n"/>
    </row>
    <row r="1095">
      <c r="C1095" s="60" t="n"/>
      <c r="D1095" s="60" t="n"/>
    </row>
    <row r="1096">
      <c r="C1096" s="60" t="n"/>
      <c r="D1096" s="60" t="n"/>
    </row>
    <row r="1097">
      <c r="C1097" s="60" t="n"/>
      <c r="D1097" s="60" t="n"/>
    </row>
    <row r="1098">
      <c r="C1098" s="60" t="n"/>
      <c r="D1098" s="60" t="n"/>
    </row>
    <row r="1099">
      <c r="C1099" s="60" t="n"/>
      <c r="D1099" s="60" t="n"/>
    </row>
    <row r="1100">
      <c r="C1100" s="60" t="n"/>
      <c r="D1100" s="60" t="n"/>
    </row>
    <row r="1101">
      <c r="C1101" s="60" t="n"/>
      <c r="D1101" s="60" t="n"/>
    </row>
    <row r="1102">
      <c r="C1102" s="60" t="n"/>
      <c r="D1102" s="60" t="n"/>
    </row>
    <row r="1103">
      <c r="C1103" s="60" t="n"/>
      <c r="D1103" s="60" t="n"/>
    </row>
    <row r="1104">
      <c r="C1104" s="60" t="n"/>
      <c r="D1104" s="60" t="n"/>
    </row>
    <row r="1105">
      <c r="C1105" s="60" t="n"/>
      <c r="D1105" s="60" t="n"/>
    </row>
    <row r="1106">
      <c r="C1106" s="60" t="n"/>
      <c r="D1106" s="60" t="n"/>
    </row>
    <row r="1107">
      <c r="C1107" s="60" t="n"/>
      <c r="D1107" s="60" t="n"/>
    </row>
    <row r="1108">
      <c r="C1108" s="60" t="n"/>
      <c r="D1108" s="60" t="n"/>
    </row>
    <row r="1109">
      <c r="C1109" s="60" t="n"/>
      <c r="D1109" s="60" t="n"/>
    </row>
    <row r="1110">
      <c r="C1110" s="60" t="n"/>
      <c r="D1110" s="60" t="n"/>
    </row>
    <row r="1111">
      <c r="C1111" s="60" t="n"/>
      <c r="D1111" s="60" t="n"/>
    </row>
    <row r="1112">
      <c r="C1112" s="60" t="n"/>
      <c r="D1112" s="60" t="n"/>
    </row>
    <row r="1113">
      <c r="C1113" s="60" t="n"/>
      <c r="D1113" s="60" t="n"/>
    </row>
    <row r="1114">
      <c r="C1114" s="60" t="n"/>
      <c r="D1114" s="60" t="n"/>
    </row>
    <row r="1115">
      <c r="C1115" s="60" t="n"/>
      <c r="D1115" s="60" t="n"/>
    </row>
    <row r="1116">
      <c r="C1116" s="60" t="n"/>
      <c r="D1116" s="60" t="n"/>
    </row>
    <row r="1117">
      <c r="C1117" s="60" t="n"/>
      <c r="D1117" s="60" t="n"/>
    </row>
    <row r="1118">
      <c r="C1118" s="60" t="n"/>
      <c r="D1118" s="60" t="n"/>
    </row>
    <row r="1119">
      <c r="C1119" s="60" t="n"/>
      <c r="D1119" s="60" t="n"/>
    </row>
    <row r="1120">
      <c r="C1120" s="60" t="n"/>
      <c r="D1120" s="60" t="n"/>
    </row>
    <row r="1121">
      <c r="C1121" s="60" t="n"/>
      <c r="D1121" s="60" t="n"/>
    </row>
    <row r="1122">
      <c r="C1122" s="60" t="n"/>
      <c r="D1122" s="60" t="n"/>
    </row>
    <row r="1123">
      <c r="C1123" s="60" t="n"/>
      <c r="D1123" s="60" t="n"/>
    </row>
    <row r="1124">
      <c r="C1124" s="60" t="n"/>
      <c r="D1124" s="60" t="n"/>
    </row>
    <row r="1125">
      <c r="C1125" s="60" t="n"/>
      <c r="D1125" s="60" t="n"/>
    </row>
    <row r="1126">
      <c r="C1126" s="60" t="n"/>
      <c r="D1126" s="60" t="n"/>
    </row>
    <row r="1127">
      <c r="C1127" s="60" t="n"/>
      <c r="D1127" s="60" t="n"/>
    </row>
    <row r="1128">
      <c r="C1128" s="60" t="n"/>
      <c r="D1128" s="60" t="n"/>
    </row>
    <row r="1129">
      <c r="C1129" s="60" t="n"/>
      <c r="D1129" s="60" t="n"/>
    </row>
    <row r="1130">
      <c r="C1130" s="60" t="n"/>
      <c r="D1130" s="60" t="n"/>
    </row>
    <row r="1131">
      <c r="C1131" s="60" t="n"/>
      <c r="D1131" s="60" t="n"/>
    </row>
    <row r="1132">
      <c r="C1132" s="60" t="n"/>
      <c r="D1132" s="60" t="n"/>
    </row>
    <row r="1133">
      <c r="C1133" s="60" t="n"/>
      <c r="D1133" s="60" t="n"/>
    </row>
    <row r="1134">
      <c r="C1134" s="60" t="n"/>
      <c r="D1134" s="60" t="n"/>
    </row>
    <row r="1135">
      <c r="C1135" s="60" t="n"/>
      <c r="D1135" s="60" t="n"/>
    </row>
    <row r="1136">
      <c r="C1136" s="60" t="n"/>
      <c r="D1136" s="60" t="n"/>
    </row>
    <row r="1137">
      <c r="C1137" s="60" t="n"/>
      <c r="D1137" s="60" t="n"/>
    </row>
    <row r="1138">
      <c r="C1138" s="60" t="n"/>
      <c r="D1138" s="60" t="n"/>
    </row>
    <row r="1139">
      <c r="C1139" s="60" t="n"/>
      <c r="D1139" s="60" t="n"/>
    </row>
    <row r="1140">
      <c r="C1140" s="60" t="n"/>
      <c r="D1140" s="60" t="n"/>
    </row>
    <row r="1141">
      <c r="C1141" s="60" t="n"/>
      <c r="D1141" s="60" t="n"/>
    </row>
    <row r="1142">
      <c r="C1142" s="60" t="n"/>
      <c r="D1142" s="60" t="n"/>
    </row>
    <row r="1143">
      <c r="C1143" s="60" t="n"/>
      <c r="D1143" s="60" t="n"/>
    </row>
    <row r="1144">
      <c r="C1144" s="60" t="n"/>
      <c r="D1144" s="60" t="n"/>
    </row>
    <row r="1145">
      <c r="C1145" s="60" t="n"/>
      <c r="D1145" s="60" t="n"/>
    </row>
    <row r="1146">
      <c r="C1146" s="60" t="n"/>
      <c r="D1146" s="60" t="n"/>
    </row>
    <row r="1147">
      <c r="C1147" s="60" t="n"/>
      <c r="D1147" s="60" t="n"/>
    </row>
    <row r="1148">
      <c r="C1148" s="60" t="n"/>
      <c r="D1148" s="60" t="n"/>
    </row>
    <row r="1149">
      <c r="C1149" s="60" t="n"/>
      <c r="D1149" s="60" t="n"/>
    </row>
    <row r="1150">
      <c r="C1150" s="60" t="n"/>
      <c r="D1150" s="60" t="n"/>
    </row>
    <row r="1151">
      <c r="C1151" s="60" t="n"/>
      <c r="D1151" s="60" t="n"/>
    </row>
    <row r="1152">
      <c r="C1152" s="60" t="n"/>
      <c r="D1152" s="60" t="n"/>
    </row>
    <row r="1153">
      <c r="C1153" s="60" t="n"/>
      <c r="D1153" s="60" t="n"/>
    </row>
    <row r="1154">
      <c r="C1154" s="60" t="n"/>
      <c r="D1154" s="60" t="n"/>
    </row>
    <row r="1155">
      <c r="C1155" s="60" t="n"/>
      <c r="D1155" s="60" t="n"/>
    </row>
    <row r="1156">
      <c r="C1156" s="60" t="n"/>
      <c r="D1156" s="60" t="n"/>
    </row>
    <row r="1157">
      <c r="C1157" s="60" t="n"/>
      <c r="D1157" s="60" t="n"/>
    </row>
    <row r="1158">
      <c r="C1158" s="60" t="n"/>
      <c r="D1158" s="60" t="n"/>
    </row>
    <row r="1159">
      <c r="C1159" s="60" t="n"/>
      <c r="D1159" s="60" t="n"/>
    </row>
    <row r="1160">
      <c r="C1160" s="60" t="n"/>
      <c r="D1160" s="60" t="n"/>
    </row>
    <row r="1161">
      <c r="C1161" s="60" t="n"/>
      <c r="D1161" s="60" t="n"/>
    </row>
    <row r="1162">
      <c r="C1162" s="60" t="n"/>
      <c r="D1162" s="60" t="n"/>
    </row>
    <row r="1163">
      <c r="C1163" s="60" t="n"/>
      <c r="D1163" s="60" t="n"/>
    </row>
    <row r="1164">
      <c r="C1164" s="60" t="n"/>
      <c r="D1164" s="60" t="n"/>
    </row>
    <row r="1165">
      <c r="C1165" s="60" t="n"/>
      <c r="D1165" s="60" t="n"/>
    </row>
    <row r="1166">
      <c r="C1166" s="60" t="n"/>
      <c r="D1166" s="60" t="n"/>
    </row>
    <row r="1167">
      <c r="C1167" s="60" t="n"/>
      <c r="D1167" s="60" t="n"/>
    </row>
    <row r="1168">
      <c r="C1168" s="60" t="n"/>
      <c r="D1168" s="60" t="n"/>
    </row>
    <row r="1169">
      <c r="C1169" s="60" t="n"/>
      <c r="D1169" s="60" t="n"/>
    </row>
    <row r="1170">
      <c r="C1170" s="60" t="n"/>
      <c r="D1170" s="60" t="n"/>
    </row>
    <row r="1171">
      <c r="C1171" s="60" t="n"/>
      <c r="D1171" s="60" t="n"/>
    </row>
    <row r="1172">
      <c r="C1172" s="60" t="n"/>
      <c r="D1172" s="60" t="n"/>
    </row>
    <row r="1173">
      <c r="C1173" s="60" t="n"/>
      <c r="D1173" s="60" t="n"/>
    </row>
    <row r="1174">
      <c r="C1174" s="60" t="n"/>
      <c r="D1174" s="60" t="n"/>
    </row>
    <row r="1175">
      <c r="C1175" s="60" t="n"/>
      <c r="D1175" s="60" t="n"/>
    </row>
    <row r="1176">
      <c r="C1176" s="60" t="n"/>
      <c r="D1176" s="60" t="n"/>
    </row>
    <row r="1177">
      <c r="C1177" s="60" t="n"/>
      <c r="D1177" s="60" t="n"/>
    </row>
    <row r="1178">
      <c r="C1178" s="60" t="n"/>
      <c r="D1178" s="60" t="n"/>
    </row>
    <row r="1179">
      <c r="C1179" s="60" t="n"/>
      <c r="D1179" s="60" t="n"/>
    </row>
    <row r="1180">
      <c r="C1180" s="60" t="n"/>
      <c r="D1180" s="60" t="n"/>
    </row>
    <row r="1181">
      <c r="C1181" s="60" t="n"/>
      <c r="D1181" s="60" t="n"/>
    </row>
    <row r="1182">
      <c r="C1182" s="60" t="n"/>
      <c r="D1182" s="60" t="n"/>
    </row>
    <row r="1183">
      <c r="C1183" s="60" t="n"/>
      <c r="D1183" s="60" t="n"/>
    </row>
    <row r="1184">
      <c r="C1184" s="60" t="n"/>
      <c r="D1184" s="60" t="n"/>
    </row>
    <row r="1185">
      <c r="C1185" s="60" t="n"/>
      <c r="D1185" s="60" t="n"/>
    </row>
    <row r="1186">
      <c r="C1186" s="60" t="n"/>
      <c r="D1186" s="60" t="n"/>
    </row>
    <row r="1187">
      <c r="C1187" s="60" t="n"/>
      <c r="D1187" s="60" t="n"/>
    </row>
    <row r="1188">
      <c r="C1188" s="60" t="n"/>
      <c r="D1188" s="60" t="n"/>
    </row>
    <row r="1189">
      <c r="C1189" s="60" t="n"/>
      <c r="D1189" s="60" t="n"/>
    </row>
    <row r="1190">
      <c r="C1190" s="60" t="n"/>
      <c r="D1190" s="60" t="n"/>
    </row>
    <row r="1191">
      <c r="C1191" s="60" t="n"/>
      <c r="D1191" s="60" t="n"/>
    </row>
    <row r="1192">
      <c r="C1192" s="60" t="n"/>
      <c r="D1192" s="60" t="n"/>
    </row>
    <row r="1193">
      <c r="C1193" s="60" t="n"/>
      <c r="D1193" s="60" t="n"/>
    </row>
    <row r="1194">
      <c r="C1194" s="60" t="n"/>
      <c r="D1194" s="60" t="n"/>
    </row>
    <row r="1195">
      <c r="C1195" s="60" t="n"/>
      <c r="D1195" s="60" t="n"/>
    </row>
    <row r="1196">
      <c r="C1196" s="60" t="n"/>
      <c r="D1196" s="60" t="n"/>
    </row>
    <row r="1197">
      <c r="C1197" s="60" t="n"/>
      <c r="D1197" s="60" t="n"/>
    </row>
    <row r="1198">
      <c r="C1198" s="60" t="n"/>
      <c r="D1198" s="60" t="n"/>
    </row>
    <row r="1199">
      <c r="C1199" s="60" t="n"/>
      <c r="D1199" s="60" t="n"/>
    </row>
    <row r="1200">
      <c r="C1200" s="60" t="n"/>
      <c r="D1200" s="60" t="n"/>
    </row>
    <row r="1201">
      <c r="C1201" s="60" t="n"/>
      <c r="D1201" s="60" t="n"/>
    </row>
    <row r="1202">
      <c r="C1202" s="60" t="n"/>
      <c r="D1202" s="60" t="n"/>
    </row>
    <row r="1203">
      <c r="C1203" s="60" t="n"/>
      <c r="D1203" s="60" t="n"/>
    </row>
    <row r="1204">
      <c r="C1204" s="60" t="n"/>
      <c r="D1204" s="60" t="n"/>
    </row>
    <row r="1205">
      <c r="C1205" s="60" t="n"/>
      <c r="D1205" s="60" t="n"/>
    </row>
    <row r="1206">
      <c r="C1206" s="60" t="n"/>
      <c r="D1206" s="60" t="n"/>
    </row>
    <row r="1207">
      <c r="C1207" s="60" t="n"/>
      <c r="D1207" s="60" t="n"/>
    </row>
    <row r="1208">
      <c r="C1208" s="60" t="n"/>
      <c r="D1208" s="60" t="n"/>
    </row>
    <row r="1209">
      <c r="C1209" s="60" t="n"/>
      <c r="D1209" s="60" t="n"/>
    </row>
    <row r="1210">
      <c r="C1210" s="60" t="n"/>
      <c r="D1210" s="60" t="n"/>
    </row>
    <row r="1211">
      <c r="C1211" s="60" t="n"/>
      <c r="D1211" s="60" t="n"/>
    </row>
    <row r="1212">
      <c r="C1212" s="60" t="n"/>
      <c r="D1212" s="60" t="n"/>
    </row>
    <row r="1213">
      <c r="C1213" s="60" t="n"/>
      <c r="D1213" s="60" t="n"/>
    </row>
    <row r="1214">
      <c r="C1214" s="60" t="n"/>
      <c r="D1214" s="60" t="n"/>
    </row>
    <row r="1215">
      <c r="C1215" s="60" t="n"/>
      <c r="D1215" s="60" t="n"/>
    </row>
    <row r="1216">
      <c r="C1216" s="60" t="n"/>
      <c r="D1216" s="60" t="n"/>
    </row>
    <row r="1217">
      <c r="C1217" s="60" t="n"/>
      <c r="D1217" s="60" t="n"/>
    </row>
    <row r="1218">
      <c r="C1218" s="60" t="n"/>
      <c r="D1218" s="60" t="n"/>
    </row>
    <row r="1219">
      <c r="C1219" s="60" t="n"/>
      <c r="D1219" s="60" t="n"/>
    </row>
    <row r="1220">
      <c r="C1220" s="60" t="n"/>
      <c r="D1220" s="60" t="n"/>
    </row>
    <row r="1221">
      <c r="C1221" s="60" t="n"/>
      <c r="D1221" s="60" t="n"/>
    </row>
    <row r="1222">
      <c r="C1222" s="60" t="n"/>
      <c r="D1222" s="60" t="n"/>
    </row>
    <row r="1223">
      <c r="C1223" s="60" t="n"/>
      <c r="D1223" s="60" t="n"/>
    </row>
    <row r="1224">
      <c r="C1224" s="60" t="n"/>
      <c r="D1224" s="60" t="n"/>
    </row>
    <row r="1225">
      <c r="C1225" s="60" t="n"/>
      <c r="D1225" s="60" t="n"/>
    </row>
    <row r="1226">
      <c r="C1226" s="60" t="n"/>
      <c r="D1226" s="60" t="n"/>
    </row>
    <row r="1227">
      <c r="C1227" s="60" t="n"/>
      <c r="D1227" s="60" t="n"/>
    </row>
    <row r="1228">
      <c r="C1228" s="60" t="n"/>
      <c r="D1228" s="60" t="n"/>
    </row>
    <row r="1229">
      <c r="C1229" s="60" t="n"/>
      <c r="D1229" s="60" t="n"/>
    </row>
    <row r="1230">
      <c r="C1230" s="60" t="n"/>
      <c r="D1230" s="60" t="n"/>
    </row>
    <row r="1231">
      <c r="C1231" s="60" t="n"/>
      <c r="D1231" s="60" t="n"/>
    </row>
    <row r="1232">
      <c r="C1232" s="60" t="n"/>
      <c r="D1232" s="60" t="n"/>
    </row>
    <row r="1233">
      <c r="C1233" s="60" t="n"/>
      <c r="D1233" s="60" t="n"/>
    </row>
    <row r="1234">
      <c r="C1234" s="60" t="n"/>
      <c r="D1234" s="60" t="n"/>
    </row>
    <row r="1235">
      <c r="C1235" s="60" t="n"/>
      <c r="D1235" s="60" t="n"/>
    </row>
    <row r="1236">
      <c r="C1236" s="60" t="n"/>
      <c r="D1236" s="60" t="n"/>
    </row>
    <row r="1237">
      <c r="C1237" s="60" t="n"/>
      <c r="D1237" s="60" t="n"/>
    </row>
    <row r="1238">
      <c r="C1238" s="60" t="n"/>
      <c r="D1238" s="60" t="n"/>
    </row>
    <row r="1239">
      <c r="C1239" s="60" t="n"/>
      <c r="D1239" s="60" t="n"/>
    </row>
    <row r="1240">
      <c r="C1240" s="60" t="n"/>
      <c r="D1240" s="60" t="n"/>
    </row>
    <row r="1241">
      <c r="C1241" s="60" t="n"/>
      <c r="D1241" s="60" t="n"/>
    </row>
    <row r="1242">
      <c r="C1242" s="60" t="n"/>
      <c r="D1242" s="60" t="n"/>
    </row>
    <row r="1243">
      <c r="C1243" s="60" t="n"/>
      <c r="D1243" s="60" t="n"/>
    </row>
    <row r="1244">
      <c r="C1244" s="60" t="n"/>
      <c r="D1244" s="60" t="n"/>
    </row>
    <row r="1245">
      <c r="C1245" s="60" t="n"/>
      <c r="D1245" s="60" t="n"/>
    </row>
    <row r="1246">
      <c r="C1246" s="60" t="n"/>
      <c r="D1246" s="60" t="n"/>
    </row>
    <row r="1247">
      <c r="C1247" s="60" t="n"/>
      <c r="D1247" s="60" t="n"/>
    </row>
    <row r="1248">
      <c r="C1248" s="60" t="n"/>
      <c r="D1248" s="60" t="n"/>
    </row>
    <row r="1249">
      <c r="C1249" s="60" t="n"/>
      <c r="D1249" s="60" t="n"/>
    </row>
    <row r="1250">
      <c r="C1250" s="60" t="n"/>
      <c r="D1250" s="60" t="n"/>
    </row>
    <row r="1251">
      <c r="C1251" s="60" t="n"/>
      <c r="D1251" s="60" t="n"/>
    </row>
    <row r="1252">
      <c r="C1252" s="60" t="n"/>
      <c r="D1252" s="60" t="n"/>
    </row>
    <row r="1253">
      <c r="C1253" s="60" t="n"/>
      <c r="D1253" s="60" t="n"/>
    </row>
    <row r="1254">
      <c r="C1254" s="60" t="n"/>
      <c r="D1254" s="60" t="n"/>
    </row>
    <row r="1255">
      <c r="C1255" s="60" t="n"/>
      <c r="D1255" s="60" t="n"/>
    </row>
    <row r="1256">
      <c r="C1256" s="60" t="n"/>
      <c r="D1256" s="60" t="n"/>
    </row>
    <row r="1257">
      <c r="C1257" s="60" t="n"/>
      <c r="D1257" s="60" t="n"/>
    </row>
    <row r="1258">
      <c r="C1258" s="60" t="n"/>
      <c r="D1258" s="60" t="n"/>
    </row>
    <row r="1259">
      <c r="C1259" s="60" t="n"/>
      <c r="D1259" s="60" t="n"/>
    </row>
    <row r="1260">
      <c r="C1260" s="60" t="n"/>
      <c r="D1260" s="60" t="n"/>
    </row>
    <row r="1261">
      <c r="C1261" s="60" t="n"/>
      <c r="D1261" s="60" t="n"/>
    </row>
    <row r="1262">
      <c r="C1262" s="60" t="n"/>
      <c r="D1262" s="60" t="n"/>
    </row>
    <row r="1263">
      <c r="C1263" s="60" t="n"/>
      <c r="D1263" s="60" t="n"/>
    </row>
    <row r="1264">
      <c r="C1264" s="60" t="n"/>
      <c r="D1264" s="60" t="n"/>
    </row>
    <row r="1265">
      <c r="C1265" s="60" t="n"/>
      <c r="D1265" s="60" t="n"/>
    </row>
    <row r="1266">
      <c r="C1266" s="60" t="n"/>
      <c r="D1266" s="60" t="n"/>
    </row>
    <row r="1267">
      <c r="C1267" s="60" t="n"/>
      <c r="D1267" s="60" t="n"/>
    </row>
    <row r="1268">
      <c r="C1268" s="60" t="n"/>
      <c r="D1268" s="60" t="n"/>
    </row>
    <row r="1269">
      <c r="C1269" s="60" t="n"/>
      <c r="D1269" s="60" t="n"/>
    </row>
    <row r="1270">
      <c r="C1270" s="60" t="n"/>
      <c r="D1270" s="60" t="n"/>
    </row>
    <row r="1271">
      <c r="C1271" s="60" t="n"/>
      <c r="D1271" s="60" t="n"/>
    </row>
    <row r="1272">
      <c r="C1272" s="60" t="n"/>
      <c r="D1272" s="60" t="n"/>
    </row>
    <row r="1273">
      <c r="C1273" s="60" t="n"/>
      <c r="D1273" s="60" t="n"/>
    </row>
    <row r="1274">
      <c r="C1274" s="60" t="n"/>
      <c r="D1274" s="60" t="n"/>
    </row>
    <row r="1275">
      <c r="C1275" s="60" t="n"/>
      <c r="D1275" s="60" t="n"/>
    </row>
    <row r="1276">
      <c r="C1276" s="60" t="n"/>
      <c r="D1276" s="60" t="n"/>
    </row>
    <row r="1277">
      <c r="C1277" s="60" t="n"/>
      <c r="D1277" s="60" t="n"/>
    </row>
    <row r="1278">
      <c r="C1278" s="60" t="n"/>
      <c r="D1278" s="60" t="n"/>
    </row>
    <row r="1279">
      <c r="C1279" s="60" t="n"/>
      <c r="D1279" s="60" t="n"/>
    </row>
    <row r="1280">
      <c r="C1280" s="60" t="n"/>
      <c r="D1280" s="60" t="n"/>
    </row>
    <row r="1281">
      <c r="C1281" s="60" t="n"/>
      <c r="D1281" s="60" t="n"/>
    </row>
    <row r="1282">
      <c r="C1282" s="60" t="n"/>
      <c r="D1282" s="60" t="n"/>
    </row>
    <row r="1283">
      <c r="C1283" s="60" t="n"/>
      <c r="D1283" s="60" t="n"/>
    </row>
    <row r="1284">
      <c r="C1284" s="60" t="n"/>
      <c r="D1284" s="60" t="n"/>
    </row>
    <row r="1285">
      <c r="C1285" s="60" t="n"/>
      <c r="D1285" s="60" t="n"/>
    </row>
    <row r="1286">
      <c r="C1286" s="60" t="n"/>
      <c r="D1286" s="60" t="n"/>
    </row>
    <row r="1287">
      <c r="C1287" s="60" t="n"/>
      <c r="D1287" s="60" t="n"/>
    </row>
    <row r="1288">
      <c r="C1288" s="60" t="n"/>
      <c r="D1288" s="60" t="n"/>
    </row>
    <row r="1289">
      <c r="C1289" s="60" t="n"/>
      <c r="D1289" s="60" t="n"/>
    </row>
    <row r="1290">
      <c r="C1290" s="60" t="n"/>
      <c r="D1290" s="60" t="n"/>
    </row>
    <row r="1291">
      <c r="C1291" s="60" t="n"/>
      <c r="D1291" s="60" t="n"/>
    </row>
    <row r="1292">
      <c r="C1292" s="60" t="n"/>
      <c r="D1292" s="60" t="n"/>
    </row>
    <row r="1293">
      <c r="C1293" s="60" t="n"/>
      <c r="D1293" s="60" t="n"/>
    </row>
    <row r="1294">
      <c r="C1294" s="60" t="n"/>
      <c r="D1294" s="60" t="n"/>
    </row>
    <row r="1295">
      <c r="C1295" s="60" t="n"/>
      <c r="D1295" s="60" t="n"/>
    </row>
    <row r="1296">
      <c r="C1296" s="60" t="n"/>
      <c r="D1296" s="60" t="n"/>
    </row>
    <row r="1297">
      <c r="C1297" s="60" t="n"/>
      <c r="D1297" s="60" t="n"/>
    </row>
    <row r="1298">
      <c r="C1298" s="60" t="n"/>
      <c r="D1298" s="60" t="n"/>
    </row>
    <row r="1299">
      <c r="C1299" s="60" t="n"/>
      <c r="D1299" s="60" t="n"/>
    </row>
    <row r="1300">
      <c r="C1300" s="60" t="n"/>
      <c r="D1300" s="60" t="n"/>
    </row>
    <row r="1301">
      <c r="C1301" s="60" t="n"/>
      <c r="D1301" s="60" t="n"/>
    </row>
    <row r="1302">
      <c r="C1302" s="60" t="n"/>
      <c r="D1302" s="60" t="n"/>
    </row>
    <row r="1303">
      <c r="C1303" s="60" t="n"/>
      <c r="D1303" s="60" t="n"/>
    </row>
    <row r="1304">
      <c r="C1304" s="60" t="n"/>
      <c r="D1304" s="60" t="n"/>
    </row>
    <row r="1305">
      <c r="C1305" s="60" t="n"/>
      <c r="D1305" s="60" t="n"/>
    </row>
    <row r="1306">
      <c r="C1306" s="60" t="n"/>
      <c r="D1306" s="60" t="n"/>
    </row>
    <row r="1307">
      <c r="C1307" s="60" t="n"/>
      <c r="D1307" s="60" t="n"/>
    </row>
    <row r="1308">
      <c r="C1308" s="60" t="n"/>
      <c r="D1308" s="60" t="n"/>
    </row>
    <row r="1309">
      <c r="C1309" s="60" t="n"/>
      <c r="D1309" s="60" t="n"/>
    </row>
    <row r="1310">
      <c r="C1310" s="60" t="n"/>
      <c r="D1310" s="60" t="n"/>
    </row>
    <row r="1311">
      <c r="C1311" s="60" t="n"/>
      <c r="D1311" s="60" t="n"/>
    </row>
    <row r="1312">
      <c r="C1312" s="60" t="n"/>
      <c r="D1312" s="60" t="n"/>
    </row>
    <row r="1313">
      <c r="C1313" s="60" t="n"/>
      <c r="D1313" s="60" t="n"/>
    </row>
    <row r="1314">
      <c r="C1314" s="60" t="n"/>
      <c r="D1314" s="60" t="n"/>
    </row>
    <row r="1315">
      <c r="C1315" s="60" t="n"/>
      <c r="D1315" s="60" t="n"/>
    </row>
    <row r="1316">
      <c r="C1316" s="60" t="n"/>
      <c r="D1316" s="60" t="n"/>
    </row>
    <row r="1317">
      <c r="C1317" s="60" t="n"/>
      <c r="D1317" s="60" t="n"/>
    </row>
    <row r="1318">
      <c r="C1318" s="60" t="n"/>
      <c r="D1318" s="60" t="n"/>
    </row>
    <row r="1319">
      <c r="C1319" s="60" t="n"/>
      <c r="D1319" s="60" t="n"/>
    </row>
    <row r="1320">
      <c r="C1320" s="60" t="n"/>
      <c r="D1320" s="60" t="n"/>
    </row>
    <row r="1321">
      <c r="C1321" s="60" t="n"/>
      <c r="D1321" s="60" t="n"/>
    </row>
    <row r="1322">
      <c r="C1322" s="60" t="n"/>
      <c r="D1322" s="60" t="n"/>
    </row>
    <row r="1323">
      <c r="C1323" s="60" t="n"/>
      <c r="D1323" s="60" t="n"/>
    </row>
    <row r="1324">
      <c r="C1324" s="60" t="n"/>
      <c r="D1324" s="60" t="n"/>
    </row>
    <row r="1325">
      <c r="C1325" s="60" t="n"/>
      <c r="D1325" s="60" t="n"/>
    </row>
    <row r="1326">
      <c r="C1326" s="60" t="n"/>
      <c r="D1326" s="60" t="n"/>
    </row>
    <row r="1327">
      <c r="C1327" s="60" t="n"/>
      <c r="D1327" s="60" t="n"/>
    </row>
    <row r="1328">
      <c r="C1328" s="60" t="n"/>
      <c r="D1328" s="60" t="n"/>
    </row>
    <row r="1329">
      <c r="C1329" s="60" t="n"/>
      <c r="D1329" s="60" t="n"/>
    </row>
    <row r="1330">
      <c r="C1330" s="60" t="n"/>
      <c r="D1330" s="60" t="n"/>
    </row>
    <row r="1331">
      <c r="C1331" s="60" t="n"/>
      <c r="D1331" s="60" t="n"/>
    </row>
    <row r="1332">
      <c r="C1332" s="60" t="n"/>
      <c r="D1332" s="60" t="n"/>
    </row>
    <row r="1333">
      <c r="C1333" s="60" t="n"/>
      <c r="D1333" s="60" t="n"/>
    </row>
    <row r="1334">
      <c r="C1334" s="60" t="n"/>
      <c r="D1334" s="60" t="n"/>
    </row>
    <row r="1335">
      <c r="C1335" s="60" t="n"/>
      <c r="D1335" s="60" t="n"/>
    </row>
    <row r="1336">
      <c r="C1336" s="60" t="n"/>
      <c r="D1336" s="60" t="n"/>
    </row>
    <row r="1337">
      <c r="C1337" s="60" t="n"/>
      <c r="D1337" s="60" t="n"/>
    </row>
    <row r="1338">
      <c r="C1338" s="60" t="n"/>
      <c r="D1338" s="60" t="n"/>
    </row>
    <row r="1339">
      <c r="C1339" s="60" t="n"/>
      <c r="D1339" s="60" t="n"/>
    </row>
    <row r="1340">
      <c r="C1340" s="60" t="n"/>
      <c r="D1340" s="60" t="n"/>
    </row>
    <row r="1341">
      <c r="C1341" s="60" t="n"/>
      <c r="D1341" s="60" t="n"/>
    </row>
    <row r="1342">
      <c r="C1342" s="60" t="n"/>
      <c r="D1342" s="60" t="n"/>
    </row>
    <row r="1343">
      <c r="C1343" s="60" t="n"/>
      <c r="D1343" s="60" t="n"/>
    </row>
    <row r="1344">
      <c r="C1344" s="60" t="n"/>
      <c r="D1344" s="60" t="n"/>
    </row>
    <row r="1345">
      <c r="C1345" s="60" t="n"/>
      <c r="D1345" s="60" t="n"/>
    </row>
    <row r="1346">
      <c r="C1346" s="60" t="n"/>
      <c r="D1346" s="60" t="n"/>
    </row>
    <row r="1347">
      <c r="C1347" s="60" t="n"/>
      <c r="D1347" s="60" t="n"/>
    </row>
    <row r="1348">
      <c r="C1348" s="60" t="n"/>
      <c r="D1348" s="60" t="n"/>
    </row>
    <row r="1349">
      <c r="C1349" s="60" t="n"/>
      <c r="D1349" s="60" t="n"/>
    </row>
    <row r="1350">
      <c r="C1350" s="60" t="n"/>
      <c r="D1350" s="60" t="n"/>
    </row>
    <row r="1351">
      <c r="C1351" s="60" t="n"/>
      <c r="D1351" s="60" t="n"/>
    </row>
    <row r="1352">
      <c r="C1352" s="60" t="n"/>
      <c r="D1352" s="60" t="n"/>
    </row>
    <row r="1353">
      <c r="C1353" s="60" t="n"/>
      <c r="D1353" s="60" t="n"/>
    </row>
    <row r="1354">
      <c r="C1354" s="60" t="n"/>
      <c r="D1354" s="60" t="n"/>
    </row>
    <row r="1355">
      <c r="C1355" s="60" t="n"/>
      <c r="D1355" s="60" t="n"/>
    </row>
    <row r="1356">
      <c r="C1356" s="60" t="n"/>
      <c r="D1356" s="60" t="n"/>
    </row>
    <row r="1357">
      <c r="C1357" s="60" t="n"/>
      <c r="D1357" s="60" t="n"/>
    </row>
    <row r="1358">
      <c r="C1358" s="60" t="n"/>
      <c r="D1358" s="60" t="n"/>
    </row>
    <row r="1359">
      <c r="C1359" s="60" t="n"/>
      <c r="D1359" s="60" t="n"/>
    </row>
    <row r="1360">
      <c r="C1360" s="60" t="n"/>
      <c r="D1360" s="60" t="n"/>
    </row>
    <row r="1361">
      <c r="C1361" s="60" t="n"/>
      <c r="D1361" s="60" t="n"/>
    </row>
    <row r="1362">
      <c r="C1362" s="60" t="n"/>
      <c r="D1362" s="60" t="n"/>
    </row>
    <row r="1363">
      <c r="C1363" s="60" t="n"/>
      <c r="D1363" s="60" t="n"/>
    </row>
    <row r="1364">
      <c r="C1364" s="60" t="n"/>
      <c r="D1364" s="60" t="n"/>
    </row>
    <row r="1365">
      <c r="C1365" s="60" t="n"/>
      <c r="D1365" s="60" t="n"/>
    </row>
    <row r="1366">
      <c r="C1366" s="60" t="n"/>
      <c r="D1366" s="60" t="n"/>
    </row>
    <row r="1367">
      <c r="C1367" s="60" t="n"/>
      <c r="D1367" s="60" t="n"/>
    </row>
    <row r="1368">
      <c r="C1368" s="60" t="n"/>
      <c r="D1368" s="60" t="n"/>
    </row>
    <row r="1369">
      <c r="C1369" s="60" t="n"/>
      <c r="D1369" s="60" t="n"/>
    </row>
    <row r="1370">
      <c r="C1370" s="60" t="n"/>
      <c r="D1370" s="60" t="n"/>
    </row>
    <row r="1371">
      <c r="C1371" s="60" t="n"/>
      <c r="D1371" s="60" t="n"/>
    </row>
    <row r="1372">
      <c r="C1372" s="60" t="n"/>
      <c r="D1372" s="60" t="n"/>
    </row>
    <row r="1373">
      <c r="C1373" s="60" t="n"/>
      <c r="D1373" s="60" t="n"/>
    </row>
    <row r="1374">
      <c r="C1374" s="60" t="n"/>
      <c r="D1374" s="60" t="n"/>
    </row>
    <row r="1375">
      <c r="C1375" s="60" t="n"/>
      <c r="D1375" s="60" t="n"/>
    </row>
    <row r="1376">
      <c r="C1376" s="60" t="n"/>
      <c r="D1376" s="60" t="n"/>
    </row>
    <row r="1377">
      <c r="C1377" s="60" t="n"/>
      <c r="D1377" s="60" t="n"/>
    </row>
    <row r="1378">
      <c r="C1378" s="60" t="n"/>
      <c r="D1378" s="60" t="n"/>
    </row>
    <row r="1379">
      <c r="C1379" s="60" t="n"/>
      <c r="D1379" s="60" t="n"/>
    </row>
    <row r="1380">
      <c r="C1380" s="60" t="n"/>
      <c r="D1380" s="60" t="n"/>
    </row>
    <row r="1381">
      <c r="C1381" s="60" t="n"/>
      <c r="D1381" s="60" t="n"/>
    </row>
    <row r="1382">
      <c r="C1382" s="60" t="n"/>
      <c r="D1382" s="60" t="n"/>
    </row>
    <row r="1383">
      <c r="C1383" s="60" t="n"/>
      <c r="D1383" s="60" t="n"/>
    </row>
    <row r="1384">
      <c r="C1384" s="60" t="n"/>
      <c r="D1384" s="60" t="n"/>
    </row>
    <row r="1385">
      <c r="C1385" s="60" t="n"/>
      <c r="D1385" s="60" t="n"/>
    </row>
    <row r="1386">
      <c r="C1386" s="60" t="n"/>
      <c r="D1386" s="60" t="n"/>
    </row>
    <row r="1387">
      <c r="C1387" s="60" t="n"/>
      <c r="D1387" s="60" t="n"/>
    </row>
    <row r="1388">
      <c r="C1388" s="60" t="n"/>
      <c r="D1388" s="60" t="n"/>
    </row>
    <row r="1389">
      <c r="C1389" s="60" t="n"/>
      <c r="D1389" s="60" t="n"/>
    </row>
    <row r="1390">
      <c r="C1390" s="60" t="n"/>
      <c r="D1390" s="60" t="n"/>
    </row>
    <row r="1391">
      <c r="C1391" s="60" t="n"/>
      <c r="D1391" s="60" t="n"/>
    </row>
    <row r="1392">
      <c r="C1392" s="60" t="n"/>
      <c r="D1392" s="60" t="n"/>
    </row>
    <row r="1393">
      <c r="C1393" s="60" t="n"/>
      <c r="D1393" s="60" t="n"/>
    </row>
    <row r="1394">
      <c r="C1394" s="60" t="n"/>
      <c r="D1394" s="60" t="n"/>
    </row>
    <row r="1395">
      <c r="C1395" s="60" t="n"/>
      <c r="D1395" s="60" t="n"/>
    </row>
    <row r="1396">
      <c r="C1396" s="60" t="n"/>
      <c r="D1396" s="60" t="n"/>
    </row>
    <row r="1397">
      <c r="C1397" s="60" t="n"/>
      <c r="D1397" s="60" t="n"/>
    </row>
    <row r="1398">
      <c r="C1398" s="60" t="n"/>
      <c r="D1398" s="60" t="n"/>
    </row>
    <row r="1399">
      <c r="C1399" s="60" t="n"/>
      <c r="D1399" s="60" t="n"/>
    </row>
    <row r="1400">
      <c r="C1400" s="60" t="n"/>
      <c r="D1400" s="60" t="n"/>
    </row>
    <row r="1401">
      <c r="C1401" s="60" t="n"/>
      <c r="D1401" s="60" t="n"/>
    </row>
    <row r="1402">
      <c r="C1402" s="60" t="n"/>
      <c r="D1402" s="60" t="n"/>
    </row>
    <row r="1403">
      <c r="C1403" s="60" t="n"/>
      <c r="D1403" s="60" t="n"/>
    </row>
    <row r="1404">
      <c r="C1404" s="60" t="n"/>
      <c r="D1404" s="60" t="n"/>
    </row>
    <row r="1405">
      <c r="C1405" s="60" t="n"/>
      <c r="D1405" s="60" t="n"/>
    </row>
    <row r="1406">
      <c r="C1406" s="60" t="n"/>
      <c r="D1406" s="60" t="n"/>
    </row>
    <row r="1407">
      <c r="C1407" s="60" t="n"/>
      <c r="D1407" s="60" t="n"/>
    </row>
    <row r="1408">
      <c r="C1408" s="60" t="n"/>
      <c r="D1408" s="60" t="n"/>
    </row>
    <row r="1409">
      <c r="C1409" s="60" t="n"/>
      <c r="D1409" s="60" t="n"/>
    </row>
    <row r="1410">
      <c r="C1410" s="60" t="n"/>
      <c r="D1410" s="60" t="n"/>
    </row>
    <row r="1411">
      <c r="C1411" s="60" t="n"/>
      <c r="D1411" s="60" t="n"/>
    </row>
    <row r="1412">
      <c r="C1412" s="60" t="n"/>
      <c r="D1412" s="60" t="n"/>
    </row>
    <row r="1413">
      <c r="C1413" s="60" t="n"/>
      <c r="D1413" s="60" t="n"/>
    </row>
    <row r="1414">
      <c r="C1414" s="60" t="n"/>
      <c r="D1414" s="60" t="n"/>
    </row>
    <row r="1415">
      <c r="C1415" s="60" t="n"/>
      <c r="D1415" s="60" t="n"/>
    </row>
    <row r="1416">
      <c r="C1416" s="60" t="n"/>
      <c r="D1416" s="60" t="n"/>
    </row>
    <row r="1417">
      <c r="C1417" s="60" t="n"/>
      <c r="D1417" s="60" t="n"/>
    </row>
    <row r="1418">
      <c r="C1418" s="60" t="n"/>
      <c r="D1418" s="60" t="n"/>
    </row>
    <row r="1419">
      <c r="C1419" s="60" t="n"/>
      <c r="D1419" s="60" t="n"/>
    </row>
    <row r="1420">
      <c r="C1420" s="60" t="n"/>
      <c r="D1420" s="60" t="n"/>
    </row>
    <row r="1421">
      <c r="C1421" s="60" t="n"/>
      <c r="D1421" s="60" t="n"/>
    </row>
    <row r="1422">
      <c r="C1422" s="60" t="n"/>
      <c r="D1422" s="60" t="n"/>
    </row>
    <row r="1423">
      <c r="C1423" s="60" t="n"/>
      <c r="D1423" s="60" t="n"/>
    </row>
    <row r="1424">
      <c r="C1424" s="60" t="n"/>
      <c r="D1424" s="60" t="n"/>
    </row>
    <row r="1425">
      <c r="C1425" s="60" t="n"/>
      <c r="D1425" s="60" t="n"/>
    </row>
    <row r="1426">
      <c r="C1426" s="60" t="n"/>
      <c r="D1426" s="60" t="n"/>
    </row>
    <row r="1427">
      <c r="C1427" s="60" t="n"/>
      <c r="D1427" s="60" t="n"/>
    </row>
    <row r="1428">
      <c r="C1428" s="60" t="n"/>
      <c r="D1428" s="60" t="n"/>
    </row>
    <row r="1429">
      <c r="C1429" s="60" t="n"/>
      <c r="D1429" s="60" t="n"/>
    </row>
    <row r="1430">
      <c r="C1430" s="60" t="n"/>
      <c r="D1430" s="60" t="n"/>
    </row>
    <row r="1431">
      <c r="C1431" s="60" t="n"/>
      <c r="D1431" s="60" t="n"/>
    </row>
    <row r="1432">
      <c r="C1432" s="60" t="n"/>
      <c r="D1432" s="60" t="n"/>
    </row>
    <row r="1433">
      <c r="C1433" s="60" t="n"/>
      <c r="D1433" s="60" t="n"/>
    </row>
    <row r="1434">
      <c r="C1434" s="60" t="n"/>
      <c r="D1434" s="60" t="n"/>
    </row>
    <row r="1435">
      <c r="C1435" s="60" t="n"/>
      <c r="D1435" s="60" t="n"/>
    </row>
    <row r="1436">
      <c r="C1436" s="60" t="n"/>
      <c r="D1436" s="60" t="n"/>
    </row>
    <row r="1437">
      <c r="C1437" s="60" t="n"/>
      <c r="D1437" s="60" t="n"/>
    </row>
    <row r="1438">
      <c r="C1438" s="60" t="n"/>
      <c r="D1438" s="60" t="n"/>
    </row>
    <row r="1439">
      <c r="C1439" s="60" t="n"/>
      <c r="D1439" s="60" t="n"/>
    </row>
    <row r="1440">
      <c r="C1440" s="60" t="n"/>
      <c r="D1440" s="60" t="n"/>
    </row>
    <row r="1441">
      <c r="C1441" s="60" t="n"/>
      <c r="D1441" s="60" t="n"/>
    </row>
    <row r="1442">
      <c r="C1442" s="60" t="n"/>
      <c r="D1442" s="60" t="n"/>
    </row>
    <row r="1443">
      <c r="C1443" s="60" t="n"/>
      <c r="D1443" s="60" t="n"/>
    </row>
    <row r="1444">
      <c r="C1444" s="60" t="n"/>
      <c r="D1444" s="60" t="n"/>
    </row>
    <row r="1445">
      <c r="C1445" s="60" t="n"/>
      <c r="D1445" s="60" t="n"/>
    </row>
    <row r="1446">
      <c r="C1446" s="60" t="n"/>
      <c r="D1446" s="60" t="n"/>
    </row>
    <row r="1447">
      <c r="C1447" s="60" t="n"/>
      <c r="D1447" s="60" t="n"/>
    </row>
    <row r="1448">
      <c r="C1448" s="60" t="n"/>
      <c r="D1448" s="60" t="n"/>
    </row>
    <row r="1449">
      <c r="C1449" s="60" t="n"/>
      <c r="D1449" s="60" t="n"/>
    </row>
    <row r="1450">
      <c r="C1450" s="60" t="n"/>
      <c r="D1450" s="60" t="n"/>
    </row>
    <row r="1451">
      <c r="C1451" s="60" t="n"/>
      <c r="D1451" s="60" t="n"/>
    </row>
    <row r="1452">
      <c r="C1452" s="60" t="n"/>
      <c r="D1452" s="60" t="n"/>
    </row>
    <row r="1453">
      <c r="C1453" s="60" t="n"/>
      <c r="D1453" s="60" t="n"/>
    </row>
    <row r="1454">
      <c r="C1454" s="60" t="n"/>
      <c r="D1454" s="60" t="n"/>
    </row>
    <row r="1455">
      <c r="C1455" s="60" t="n"/>
      <c r="D1455" s="60" t="n"/>
    </row>
    <row r="1456">
      <c r="C1456" s="60" t="n"/>
      <c r="D1456" s="60" t="n"/>
    </row>
    <row r="1457">
      <c r="C1457" s="60" t="n"/>
      <c r="D1457" s="60" t="n"/>
    </row>
    <row r="1458">
      <c r="C1458" s="60" t="n"/>
      <c r="D1458" s="60" t="n"/>
    </row>
    <row r="1459">
      <c r="C1459" s="60" t="n"/>
      <c r="D1459" s="60" t="n"/>
    </row>
    <row r="1460">
      <c r="C1460" s="60" t="n"/>
      <c r="D1460" s="60" t="n"/>
    </row>
    <row r="1461">
      <c r="C1461" s="60" t="n"/>
      <c r="D1461" s="60" t="n"/>
    </row>
    <row r="1462">
      <c r="C1462" s="60" t="n"/>
      <c r="D1462" s="60" t="n"/>
    </row>
    <row r="1463">
      <c r="C1463" s="60" t="n"/>
      <c r="D1463" s="60" t="n"/>
    </row>
    <row r="1464">
      <c r="C1464" s="60" t="n"/>
      <c r="D1464" s="60" t="n"/>
    </row>
    <row r="1465">
      <c r="C1465" s="60" t="n"/>
      <c r="D1465" s="60" t="n"/>
    </row>
    <row r="1466">
      <c r="C1466" s="60" t="n"/>
      <c r="D1466" s="60" t="n"/>
    </row>
    <row r="1467">
      <c r="C1467" s="60" t="n"/>
      <c r="D1467" s="60" t="n"/>
    </row>
    <row r="1468">
      <c r="C1468" s="60" t="n"/>
      <c r="D1468" s="60" t="n"/>
    </row>
    <row r="1469">
      <c r="C1469" s="60" t="n"/>
      <c r="D1469" s="60" t="n"/>
    </row>
    <row r="1470">
      <c r="C1470" s="60" t="n"/>
      <c r="D1470" s="60" t="n"/>
    </row>
    <row r="1471">
      <c r="C1471" s="60" t="n"/>
      <c r="D1471" s="60" t="n"/>
    </row>
    <row r="1472">
      <c r="C1472" s="60" t="n"/>
      <c r="D1472" s="60" t="n"/>
    </row>
    <row r="1473">
      <c r="C1473" s="60" t="n"/>
      <c r="D1473" s="60" t="n"/>
    </row>
    <row r="1474">
      <c r="C1474" s="60" t="n"/>
      <c r="D1474" s="60" t="n"/>
    </row>
    <row r="1475">
      <c r="C1475" s="60" t="n"/>
      <c r="D1475" s="60" t="n"/>
    </row>
    <row r="1476">
      <c r="C1476" s="60" t="n"/>
      <c r="D1476" s="60" t="n"/>
    </row>
    <row r="1477">
      <c r="C1477" s="60" t="n"/>
      <c r="D1477" s="60" t="n"/>
    </row>
    <row r="1478">
      <c r="C1478" s="60" t="n"/>
      <c r="D1478" s="60" t="n"/>
    </row>
    <row r="1479">
      <c r="C1479" s="60" t="n"/>
      <c r="D1479" s="60" t="n"/>
    </row>
    <row r="1480">
      <c r="C1480" s="60" t="n"/>
      <c r="D1480" s="60" t="n"/>
    </row>
    <row r="1481">
      <c r="C1481" s="60" t="n"/>
      <c r="D1481" s="60" t="n"/>
    </row>
    <row r="1482">
      <c r="C1482" s="60" t="n"/>
      <c r="D1482" s="60" t="n"/>
    </row>
    <row r="1483">
      <c r="C1483" s="60" t="n"/>
      <c r="D1483" s="60" t="n"/>
    </row>
    <row r="1484">
      <c r="C1484" s="60" t="n"/>
      <c r="D1484" s="60" t="n"/>
    </row>
    <row r="1485">
      <c r="C1485" s="60" t="n"/>
      <c r="D1485" s="60" t="n"/>
    </row>
    <row r="1486">
      <c r="C1486" s="60" t="n"/>
      <c r="D1486" s="60" t="n"/>
    </row>
    <row r="1487">
      <c r="C1487" s="60" t="n"/>
      <c r="D1487" s="60" t="n"/>
    </row>
    <row r="1488">
      <c r="C1488" s="60" t="n"/>
      <c r="D1488" s="60" t="n"/>
    </row>
    <row r="1489">
      <c r="C1489" s="60" t="n"/>
      <c r="D1489" s="60" t="n"/>
    </row>
    <row r="1490">
      <c r="C1490" s="60" t="n"/>
      <c r="D1490" s="60" t="n"/>
    </row>
    <row r="1491">
      <c r="C1491" s="60" t="n"/>
      <c r="D1491" s="60" t="n"/>
    </row>
    <row r="1492">
      <c r="C1492" s="60" t="n"/>
      <c r="D1492" s="60" t="n"/>
    </row>
    <row r="1493">
      <c r="C1493" s="60" t="n"/>
      <c r="D1493" s="60" t="n"/>
    </row>
    <row r="1494">
      <c r="C1494" s="60" t="n"/>
      <c r="D1494" s="60" t="n"/>
    </row>
    <row r="1495">
      <c r="C1495" s="60" t="n"/>
      <c r="D1495" s="60" t="n"/>
    </row>
    <row r="1496">
      <c r="C1496" s="60" t="n"/>
      <c r="D1496" s="60" t="n"/>
    </row>
    <row r="1497">
      <c r="C1497" s="60" t="n"/>
      <c r="D1497" s="60" t="n"/>
    </row>
    <row r="1498">
      <c r="C1498" s="60" t="n"/>
      <c r="D1498" s="60" t="n"/>
    </row>
    <row r="1499">
      <c r="C1499" s="60" t="n"/>
      <c r="D1499" s="60" t="n"/>
    </row>
    <row r="1500">
      <c r="C1500" s="60" t="n"/>
      <c r="D1500" s="60" t="n"/>
    </row>
    <row r="1501">
      <c r="C1501" s="60" t="n"/>
      <c r="D1501" s="60" t="n"/>
    </row>
    <row r="1502">
      <c r="C1502" s="60" t="n"/>
      <c r="D1502" s="60" t="n"/>
    </row>
    <row r="1503">
      <c r="C1503" s="60" t="n"/>
      <c r="D1503" s="60" t="n"/>
    </row>
    <row r="1504">
      <c r="C1504" s="60" t="n"/>
      <c r="D1504" s="60" t="n"/>
    </row>
    <row r="1505">
      <c r="C1505" s="60" t="n"/>
      <c r="D1505" s="60" t="n"/>
    </row>
    <row r="1506">
      <c r="C1506" s="60" t="n"/>
      <c r="D1506" s="60" t="n"/>
    </row>
    <row r="1507">
      <c r="C1507" s="60" t="n"/>
      <c r="D1507" s="60" t="n"/>
    </row>
    <row r="1508">
      <c r="C1508" s="60" t="n"/>
      <c r="D1508" s="60" t="n"/>
    </row>
    <row r="1509">
      <c r="C1509" s="60" t="n"/>
      <c r="D1509" s="60" t="n"/>
    </row>
    <row r="1510">
      <c r="C1510" s="60" t="n"/>
      <c r="D1510" s="60" t="n"/>
    </row>
    <row r="1511">
      <c r="C1511" s="60" t="n"/>
      <c r="D1511" s="60" t="n"/>
    </row>
    <row r="1512">
      <c r="C1512" s="60" t="n"/>
      <c r="D1512" s="60" t="n"/>
    </row>
    <row r="1513">
      <c r="C1513" s="60" t="n"/>
      <c r="D1513" s="60" t="n"/>
    </row>
    <row r="1514">
      <c r="C1514" s="60" t="n"/>
      <c r="D1514" s="60" t="n"/>
    </row>
    <row r="1515">
      <c r="C1515" s="60" t="n"/>
      <c r="D1515" s="60" t="n"/>
    </row>
    <row r="1516">
      <c r="C1516" s="60" t="n"/>
      <c r="D1516" s="60" t="n"/>
    </row>
    <row r="1517">
      <c r="C1517" s="60" t="n"/>
      <c r="D1517" s="60" t="n"/>
    </row>
    <row r="1518">
      <c r="C1518" s="60" t="n"/>
      <c r="D1518" s="60" t="n"/>
    </row>
    <row r="1519">
      <c r="C1519" s="60" t="n"/>
      <c r="D1519" s="60" t="n"/>
    </row>
    <row r="1520">
      <c r="C1520" s="60" t="n"/>
      <c r="D1520" s="60" t="n"/>
    </row>
    <row r="1521">
      <c r="C1521" s="60" t="n"/>
      <c r="D1521" s="60" t="n"/>
    </row>
    <row r="1522">
      <c r="C1522" s="60" t="n"/>
      <c r="D1522" s="60" t="n"/>
    </row>
    <row r="1523">
      <c r="C1523" s="60" t="n"/>
      <c r="D1523" s="60" t="n"/>
    </row>
    <row r="1524">
      <c r="C1524" s="60" t="n"/>
      <c r="D1524" s="60" t="n"/>
    </row>
    <row r="1525">
      <c r="C1525" s="60" t="n"/>
      <c r="D1525" s="60" t="n"/>
    </row>
    <row r="1526">
      <c r="C1526" s="60" t="n"/>
      <c r="D1526" s="60" t="n"/>
    </row>
    <row r="1527">
      <c r="C1527" s="60" t="n"/>
      <c r="D1527" s="60" t="n"/>
    </row>
    <row r="1528">
      <c r="C1528" s="60" t="n"/>
      <c r="D1528" s="60" t="n"/>
    </row>
    <row r="1529">
      <c r="C1529" s="60" t="n"/>
      <c r="D1529" s="60" t="n"/>
    </row>
    <row r="1530">
      <c r="C1530" s="60" t="n"/>
      <c r="D1530" s="60" t="n"/>
    </row>
    <row r="1531">
      <c r="C1531" s="60" t="n"/>
      <c r="D1531" s="60" t="n"/>
    </row>
    <row r="1532">
      <c r="C1532" s="60" t="n"/>
      <c r="D1532" s="60" t="n"/>
    </row>
    <row r="1533">
      <c r="C1533" s="60" t="n"/>
      <c r="D1533" s="60" t="n"/>
    </row>
    <row r="1534">
      <c r="C1534" s="60" t="n"/>
      <c r="D1534" s="60" t="n"/>
    </row>
    <row r="1535">
      <c r="C1535" s="60" t="n"/>
      <c r="D1535" s="60" t="n"/>
    </row>
    <row r="1536">
      <c r="C1536" s="60" t="n"/>
      <c r="D1536" s="60" t="n"/>
    </row>
    <row r="1537">
      <c r="C1537" s="60" t="n"/>
      <c r="D1537" s="60" t="n"/>
    </row>
    <row r="1538">
      <c r="C1538" s="60" t="n"/>
      <c r="D1538" s="60" t="n"/>
    </row>
    <row r="1539">
      <c r="C1539" s="60" t="n"/>
      <c r="D1539" s="60" t="n"/>
    </row>
    <row r="1540">
      <c r="C1540" s="60" t="n"/>
      <c r="D1540" s="60" t="n"/>
    </row>
    <row r="1541">
      <c r="C1541" s="60" t="n"/>
      <c r="D1541" s="60" t="n"/>
    </row>
    <row r="1542">
      <c r="C1542" s="60" t="n"/>
      <c r="D1542" s="60" t="n"/>
    </row>
    <row r="1543">
      <c r="C1543" s="60" t="n"/>
      <c r="D1543" s="60" t="n"/>
    </row>
    <row r="1544">
      <c r="C1544" s="60" t="n"/>
      <c r="D1544" s="60" t="n"/>
    </row>
    <row r="1545">
      <c r="C1545" s="60" t="n"/>
      <c r="D1545" s="60" t="n"/>
    </row>
    <row r="1546">
      <c r="C1546" s="60" t="n"/>
      <c r="D1546" s="60" t="n"/>
    </row>
    <row r="1547">
      <c r="C1547" s="60" t="n"/>
      <c r="D1547" s="60" t="n"/>
    </row>
    <row r="1548">
      <c r="C1548" s="60" t="n"/>
      <c r="D1548" s="60" t="n"/>
    </row>
    <row r="1549">
      <c r="C1549" s="60" t="n"/>
      <c r="D1549" s="60" t="n"/>
    </row>
    <row r="1550">
      <c r="C1550" s="60" t="n"/>
      <c r="D1550" s="60" t="n"/>
    </row>
    <row r="1551">
      <c r="C1551" s="60" t="n"/>
      <c r="D1551" s="60" t="n"/>
    </row>
    <row r="1552">
      <c r="C1552" s="60" t="n"/>
      <c r="D1552" s="60" t="n"/>
    </row>
    <row r="1553">
      <c r="C1553" s="60" t="n"/>
      <c r="D1553" s="60" t="n"/>
    </row>
    <row r="1554">
      <c r="C1554" s="60" t="n"/>
      <c r="D1554" s="60" t="n"/>
    </row>
    <row r="1555">
      <c r="C1555" s="60" t="n"/>
      <c r="D1555" s="60" t="n"/>
    </row>
    <row r="1556">
      <c r="C1556" s="60" t="n"/>
      <c r="D1556" s="60" t="n"/>
    </row>
    <row r="1557">
      <c r="C1557" s="60" t="n"/>
      <c r="D1557" s="60" t="n"/>
    </row>
    <row r="1558">
      <c r="C1558" s="60" t="n"/>
      <c r="D1558" s="60" t="n"/>
    </row>
    <row r="1559">
      <c r="C1559" s="60" t="n"/>
      <c r="D1559" s="60" t="n"/>
    </row>
    <row r="1560">
      <c r="C1560" s="60" t="n"/>
      <c r="D1560" s="60" t="n"/>
    </row>
    <row r="1561">
      <c r="C1561" s="60" t="n"/>
      <c r="D1561" s="60" t="n"/>
    </row>
    <row r="1562">
      <c r="C1562" s="60" t="n"/>
      <c r="D1562" s="60" t="n"/>
    </row>
    <row r="1563">
      <c r="C1563" s="60" t="n"/>
      <c r="D1563" s="60" t="n"/>
    </row>
    <row r="1564">
      <c r="C1564" s="60" t="n"/>
      <c r="D1564" s="60" t="n"/>
    </row>
    <row r="1565">
      <c r="C1565" s="60" t="n"/>
      <c r="D1565" s="60" t="n"/>
    </row>
    <row r="1566">
      <c r="C1566" s="60" t="n"/>
      <c r="D1566" s="60" t="n"/>
    </row>
    <row r="1567">
      <c r="C1567" s="60" t="n"/>
      <c r="D1567" s="60" t="n"/>
    </row>
    <row r="1568">
      <c r="C1568" s="60" t="n"/>
      <c r="D1568" s="60" t="n"/>
    </row>
    <row r="1569">
      <c r="C1569" s="60" t="n"/>
      <c r="D1569" s="60" t="n"/>
    </row>
    <row r="1570">
      <c r="C1570" s="60" t="n"/>
      <c r="D1570" s="60" t="n"/>
    </row>
    <row r="1571">
      <c r="C1571" s="60" t="n"/>
      <c r="D1571" s="60" t="n"/>
    </row>
    <row r="1572">
      <c r="C1572" s="60" t="n"/>
      <c r="D1572" s="60" t="n"/>
    </row>
    <row r="1573">
      <c r="C1573" s="60" t="n"/>
      <c r="D1573" s="60" t="n"/>
    </row>
    <row r="1574">
      <c r="C1574" s="60" t="n"/>
      <c r="D1574" s="60" t="n"/>
    </row>
    <row r="1575">
      <c r="C1575" s="60" t="n"/>
      <c r="D1575" s="60" t="n"/>
    </row>
    <row r="1576">
      <c r="C1576" s="60" t="n"/>
      <c r="D1576" s="60" t="n"/>
    </row>
    <row r="1577">
      <c r="C1577" s="60" t="n"/>
      <c r="D1577" s="60" t="n"/>
    </row>
    <row r="1578">
      <c r="C1578" s="60" t="n"/>
      <c r="D1578" s="60" t="n"/>
    </row>
    <row r="1579">
      <c r="C1579" s="60" t="n"/>
      <c r="D1579" s="60" t="n"/>
    </row>
    <row r="1580">
      <c r="C1580" s="60" t="n"/>
      <c r="D1580" s="60" t="n"/>
    </row>
    <row r="1581">
      <c r="C1581" s="60" t="n"/>
      <c r="D1581" s="60" t="n"/>
    </row>
    <row r="1582">
      <c r="C1582" s="60" t="n"/>
      <c r="D1582" s="60" t="n"/>
    </row>
    <row r="1583">
      <c r="C1583" s="60" t="n"/>
      <c r="D1583" s="60" t="n"/>
    </row>
    <row r="1584">
      <c r="C1584" s="60" t="n"/>
      <c r="D1584" s="60" t="n"/>
    </row>
    <row r="1585">
      <c r="C1585" s="60" t="n"/>
      <c r="D1585" s="60" t="n"/>
    </row>
    <row r="1586">
      <c r="C1586" s="60" t="n"/>
      <c r="D1586" s="60" t="n"/>
    </row>
    <row r="1587">
      <c r="C1587" s="60" t="n"/>
      <c r="D1587" s="60" t="n"/>
    </row>
    <row r="1588">
      <c r="C1588" s="60" t="n"/>
      <c r="D1588" s="60" t="n"/>
    </row>
    <row r="1589">
      <c r="C1589" s="60" t="n"/>
      <c r="D1589" s="60" t="n"/>
    </row>
    <row r="1590">
      <c r="C1590" s="60" t="n"/>
      <c r="D1590" s="60" t="n"/>
    </row>
    <row r="1591">
      <c r="C1591" s="60" t="n"/>
      <c r="D1591" s="60" t="n"/>
    </row>
    <row r="1592">
      <c r="C1592" s="60" t="n"/>
      <c r="D1592" s="60" t="n"/>
    </row>
    <row r="1593">
      <c r="C1593" s="60" t="n"/>
      <c r="D1593" s="60" t="n"/>
    </row>
    <row r="1594">
      <c r="C1594" s="60" t="n"/>
      <c r="D1594" s="60" t="n"/>
    </row>
    <row r="1595">
      <c r="C1595" s="60" t="n"/>
      <c r="D1595" s="60" t="n"/>
    </row>
    <row r="1596">
      <c r="C1596" s="60" t="n"/>
      <c r="D1596" s="60" t="n"/>
    </row>
    <row r="1597">
      <c r="C1597" s="60" t="n"/>
      <c r="D1597" s="60" t="n"/>
    </row>
    <row r="1598">
      <c r="C1598" s="60" t="n"/>
      <c r="D1598" s="60" t="n"/>
    </row>
    <row r="1599">
      <c r="C1599" s="60" t="n"/>
      <c r="D1599" s="60" t="n"/>
    </row>
    <row r="1600">
      <c r="C1600" s="60" t="n"/>
      <c r="D1600" s="60" t="n"/>
    </row>
    <row r="1601">
      <c r="C1601" s="60" t="n"/>
      <c r="D1601" s="60" t="n"/>
    </row>
    <row r="1602">
      <c r="C1602" s="60" t="n"/>
      <c r="D1602" s="60" t="n"/>
    </row>
    <row r="1603">
      <c r="C1603" s="60" t="n"/>
      <c r="D1603" s="60" t="n"/>
    </row>
    <row r="1604">
      <c r="C1604" s="60" t="n"/>
      <c r="D1604" s="60" t="n"/>
    </row>
    <row r="1605">
      <c r="C1605" s="60" t="n"/>
      <c r="D1605" s="60" t="n"/>
    </row>
    <row r="1606">
      <c r="C1606" s="60" t="n"/>
      <c r="D1606" s="60" t="n"/>
    </row>
    <row r="1607">
      <c r="C1607" s="60" t="n"/>
      <c r="D1607" s="60" t="n"/>
    </row>
    <row r="1608">
      <c r="C1608" s="60" t="n"/>
      <c r="D1608" s="60" t="n"/>
    </row>
    <row r="1609">
      <c r="C1609" s="60" t="n"/>
      <c r="D1609" s="60" t="n"/>
    </row>
    <row r="1610">
      <c r="C1610" s="60" t="n"/>
      <c r="D1610" s="60" t="n"/>
    </row>
    <row r="1611">
      <c r="C1611" s="60" t="n"/>
      <c r="D1611" s="60" t="n"/>
    </row>
    <row r="1612">
      <c r="C1612" s="60" t="n"/>
      <c r="D1612" s="60" t="n"/>
    </row>
    <row r="1613">
      <c r="C1613" s="60" t="n"/>
      <c r="D1613" s="60" t="n"/>
    </row>
    <row r="1614">
      <c r="C1614" s="60" t="n"/>
      <c r="D1614" s="60" t="n"/>
    </row>
    <row r="1615">
      <c r="C1615" s="60" t="n"/>
      <c r="D1615" s="60" t="n"/>
    </row>
    <row r="1616">
      <c r="C1616" s="60" t="n"/>
      <c r="D1616" s="60" t="n"/>
    </row>
    <row r="1617">
      <c r="C1617" s="60" t="n"/>
      <c r="D1617" s="60" t="n"/>
    </row>
    <row r="1618">
      <c r="C1618" s="60" t="n"/>
      <c r="D1618" s="60" t="n"/>
    </row>
    <row r="1619">
      <c r="C1619" s="60" t="n"/>
      <c r="D1619" s="60" t="n"/>
    </row>
    <row r="1620">
      <c r="C1620" s="60" t="n"/>
      <c r="D1620" s="60" t="n"/>
    </row>
    <row r="1621">
      <c r="C1621" s="60" t="n"/>
      <c r="D1621" s="60" t="n"/>
    </row>
    <row r="1622">
      <c r="C1622" s="60" t="n"/>
      <c r="D1622" s="60" t="n"/>
    </row>
    <row r="1623">
      <c r="C1623" s="60" t="n"/>
      <c r="D1623" s="60" t="n"/>
    </row>
    <row r="1624">
      <c r="C1624" s="60" t="n"/>
      <c r="D1624" s="60" t="n"/>
    </row>
    <row r="1625">
      <c r="C1625" s="60" t="n"/>
      <c r="D1625" s="60" t="n"/>
    </row>
    <row r="1626">
      <c r="C1626" s="60" t="n"/>
      <c r="D1626" s="60" t="n"/>
    </row>
    <row r="1627">
      <c r="C1627" s="60" t="n"/>
      <c r="D1627" s="60" t="n"/>
    </row>
    <row r="1628">
      <c r="C1628" s="60" t="n"/>
      <c r="D1628" s="60" t="n"/>
    </row>
    <row r="1629">
      <c r="C1629" s="60" t="n"/>
      <c r="D1629" s="60" t="n"/>
    </row>
    <row r="1630">
      <c r="C1630" s="60" t="n"/>
      <c r="D1630" s="60" t="n"/>
    </row>
    <row r="1631">
      <c r="C1631" s="60" t="n"/>
      <c r="D1631" s="60" t="n"/>
    </row>
    <row r="1632">
      <c r="C1632" s="60" t="n"/>
      <c r="D1632" s="60" t="n"/>
    </row>
    <row r="1633">
      <c r="C1633" s="60" t="n"/>
      <c r="D1633" s="60" t="n"/>
    </row>
    <row r="1634">
      <c r="C1634" s="60" t="n"/>
      <c r="D1634" s="60" t="n"/>
    </row>
    <row r="1635">
      <c r="C1635" s="60" t="n"/>
      <c r="D1635" s="60" t="n"/>
    </row>
    <row r="1636">
      <c r="C1636" s="60" t="n"/>
      <c r="D1636" s="60" t="n"/>
    </row>
    <row r="1637">
      <c r="C1637" s="60" t="n"/>
      <c r="D1637" s="60" t="n"/>
    </row>
    <row r="1638">
      <c r="C1638" s="60" t="n"/>
      <c r="D1638" s="60" t="n"/>
    </row>
    <row r="1639">
      <c r="C1639" s="60" t="n"/>
      <c r="D1639" s="60" t="n"/>
    </row>
    <row r="1640">
      <c r="C1640" s="60" t="n"/>
      <c r="D1640" s="60" t="n"/>
    </row>
    <row r="1641">
      <c r="C1641" s="60" t="n"/>
      <c r="D1641" s="60" t="n"/>
    </row>
    <row r="1642">
      <c r="C1642" s="60" t="n"/>
      <c r="D1642" s="60" t="n"/>
    </row>
    <row r="1643">
      <c r="C1643" s="60" t="n"/>
      <c r="D1643" s="60" t="n"/>
    </row>
    <row r="1644">
      <c r="C1644" s="60" t="n"/>
      <c r="D1644" s="60" t="n"/>
    </row>
    <row r="1645">
      <c r="C1645" s="60" t="n"/>
      <c r="D1645" s="60" t="n"/>
    </row>
    <row r="1646">
      <c r="C1646" s="60" t="n"/>
      <c r="D1646" s="60" t="n"/>
    </row>
    <row r="1647">
      <c r="C1647" s="60" t="n"/>
      <c r="D1647" s="60" t="n"/>
    </row>
    <row r="1648">
      <c r="C1648" s="60" t="n"/>
      <c r="D1648" s="60" t="n"/>
    </row>
    <row r="1649">
      <c r="C1649" s="60" t="n"/>
      <c r="D1649" s="60" t="n"/>
    </row>
    <row r="1650">
      <c r="C1650" s="60" t="n"/>
      <c r="D1650" s="60" t="n"/>
    </row>
    <row r="1651">
      <c r="C1651" s="60" t="n"/>
      <c r="D1651" s="60" t="n"/>
    </row>
    <row r="1652">
      <c r="C1652" s="60" t="n"/>
      <c r="D1652" s="60" t="n"/>
    </row>
    <row r="1653">
      <c r="C1653" s="60" t="n"/>
      <c r="D1653" s="60" t="n"/>
    </row>
    <row r="1654">
      <c r="C1654" s="60" t="n"/>
      <c r="D1654" s="60" t="n"/>
    </row>
    <row r="1655">
      <c r="C1655" s="60" t="n"/>
      <c r="D1655" s="60" t="n"/>
    </row>
    <row r="1656">
      <c r="C1656" s="60" t="n"/>
      <c r="D1656" s="60" t="n"/>
    </row>
    <row r="1657">
      <c r="C1657" s="60" t="n"/>
      <c r="D1657" s="60" t="n"/>
    </row>
    <row r="1658">
      <c r="C1658" s="60" t="n"/>
      <c r="D1658" s="60" t="n"/>
    </row>
    <row r="1659">
      <c r="C1659" s="60" t="n"/>
      <c r="D1659" s="60" t="n"/>
    </row>
    <row r="1660">
      <c r="C1660" s="60" t="n"/>
      <c r="D1660" s="60" t="n"/>
    </row>
    <row r="1661">
      <c r="C1661" s="60" t="n"/>
      <c r="D1661" s="60" t="n"/>
    </row>
    <row r="1662">
      <c r="C1662" s="60" t="n"/>
      <c r="D1662" s="60" t="n"/>
    </row>
    <row r="1663">
      <c r="C1663" s="60" t="n"/>
      <c r="D1663" s="60" t="n"/>
    </row>
    <row r="1664">
      <c r="C1664" s="60" t="n"/>
      <c r="D1664" s="60" t="n"/>
    </row>
    <row r="1665">
      <c r="C1665" s="60" t="n"/>
      <c r="D1665" s="60" t="n"/>
    </row>
    <row r="1666">
      <c r="C1666" s="60" t="n"/>
      <c r="D1666" s="60" t="n"/>
    </row>
    <row r="1667">
      <c r="C1667" s="60" t="n"/>
      <c r="D1667" s="60" t="n"/>
    </row>
    <row r="1668">
      <c r="C1668" s="60" t="n"/>
      <c r="D1668" s="60" t="n"/>
    </row>
    <row r="1669">
      <c r="C1669" s="60" t="n"/>
      <c r="D1669" s="60" t="n"/>
    </row>
    <row r="1670">
      <c r="C1670" s="60" t="n"/>
      <c r="D1670" s="60" t="n"/>
    </row>
    <row r="1671">
      <c r="C1671" s="60" t="n"/>
      <c r="D1671" s="60" t="n"/>
    </row>
    <row r="1672">
      <c r="C1672" s="60" t="n"/>
      <c r="D1672" s="60" t="n"/>
    </row>
    <row r="1673">
      <c r="C1673" s="60" t="n"/>
      <c r="D1673" s="60" t="n"/>
    </row>
    <row r="1674">
      <c r="C1674" s="60" t="n"/>
      <c r="D1674" s="60" t="n"/>
    </row>
    <row r="1675">
      <c r="C1675" s="60" t="n"/>
      <c r="D1675" s="60" t="n"/>
    </row>
    <row r="1676">
      <c r="C1676" s="60" t="n"/>
      <c r="D1676" s="60" t="n"/>
    </row>
    <row r="1677">
      <c r="C1677" s="60" t="n"/>
      <c r="D1677" s="60" t="n"/>
    </row>
    <row r="1678">
      <c r="C1678" s="60" t="n"/>
      <c r="D1678" s="60" t="n"/>
    </row>
    <row r="1679">
      <c r="C1679" s="60" t="n"/>
      <c r="D1679" s="60" t="n"/>
    </row>
    <row r="1680">
      <c r="C1680" s="60" t="n"/>
      <c r="D1680" s="60" t="n"/>
    </row>
    <row r="1681">
      <c r="C1681" s="60" t="n"/>
      <c r="D1681" s="60" t="n"/>
    </row>
    <row r="1682">
      <c r="C1682" s="60" t="n"/>
      <c r="D1682" s="60" t="n"/>
    </row>
    <row r="1683">
      <c r="C1683" s="60" t="n"/>
      <c r="D1683" s="60" t="n"/>
    </row>
    <row r="1684">
      <c r="C1684" s="60" t="n"/>
      <c r="D1684" s="60" t="n"/>
    </row>
    <row r="1685">
      <c r="C1685" s="60" t="n"/>
      <c r="D1685" s="60" t="n"/>
    </row>
    <row r="1686">
      <c r="C1686" s="60" t="n"/>
      <c r="D1686" s="60" t="n"/>
    </row>
    <row r="1687">
      <c r="C1687" s="60" t="n"/>
      <c r="D1687" s="60" t="n"/>
    </row>
    <row r="1688">
      <c r="C1688" s="60" t="n"/>
      <c r="D1688" s="60" t="n"/>
    </row>
    <row r="1689">
      <c r="C1689" s="60" t="n"/>
      <c r="D1689" s="60" t="n"/>
    </row>
    <row r="1690">
      <c r="C1690" s="60" t="n"/>
      <c r="D1690" s="60" t="n"/>
    </row>
    <row r="1691">
      <c r="C1691" s="60" t="n"/>
      <c r="D1691" s="60" t="n"/>
    </row>
    <row r="1692">
      <c r="C1692" s="60" t="n"/>
      <c r="D1692" s="60" t="n"/>
    </row>
    <row r="1693">
      <c r="C1693" s="60" t="n"/>
      <c r="D1693" s="60" t="n"/>
    </row>
    <row r="1694">
      <c r="C1694" s="60" t="n"/>
      <c r="D1694" s="60" t="n"/>
    </row>
    <row r="1695">
      <c r="C1695" s="60" t="n"/>
      <c r="D1695" s="60" t="n"/>
    </row>
    <row r="1696">
      <c r="C1696" s="60" t="n"/>
      <c r="D1696" s="60" t="n"/>
    </row>
    <row r="1697">
      <c r="C1697" s="60" t="n"/>
      <c r="D1697" s="60" t="n"/>
    </row>
    <row r="1698">
      <c r="C1698" s="60" t="n"/>
      <c r="D1698" s="60" t="n"/>
    </row>
    <row r="1699">
      <c r="C1699" s="60" t="n"/>
      <c r="D1699" s="60" t="n"/>
    </row>
    <row r="1700">
      <c r="C1700" s="60" t="n"/>
      <c r="D1700" s="60" t="n"/>
    </row>
    <row r="1701">
      <c r="C1701" s="60" t="n"/>
      <c r="D1701" s="60" t="n"/>
    </row>
    <row r="1702">
      <c r="C1702" s="60" t="n"/>
      <c r="D1702" s="60" t="n"/>
    </row>
    <row r="1703">
      <c r="C1703" s="60" t="n"/>
      <c r="D1703" s="60" t="n"/>
    </row>
    <row r="1704">
      <c r="C1704" s="60" t="n"/>
      <c r="D1704" s="60" t="n"/>
    </row>
    <row r="1705">
      <c r="C1705" s="60" t="n"/>
      <c r="D1705" s="60" t="n"/>
    </row>
    <row r="1706">
      <c r="C1706" s="60" t="n"/>
      <c r="D1706" s="60" t="n"/>
    </row>
    <row r="1707">
      <c r="C1707" s="60" t="n"/>
      <c r="D1707" s="60" t="n"/>
    </row>
    <row r="1708">
      <c r="C1708" s="60" t="n"/>
      <c r="D1708" s="60" t="n"/>
    </row>
    <row r="1709">
      <c r="C1709" s="60" t="n"/>
      <c r="D1709" s="60" t="n"/>
    </row>
    <row r="1710">
      <c r="C1710" s="60" t="n"/>
      <c r="D1710" s="60" t="n"/>
    </row>
    <row r="1711">
      <c r="C1711" s="60" t="n"/>
      <c r="D1711" s="60" t="n"/>
    </row>
    <row r="1712">
      <c r="C1712" s="60" t="n"/>
      <c r="D1712" s="60" t="n"/>
    </row>
    <row r="1713">
      <c r="C1713" s="60" t="n"/>
      <c r="D1713" s="60" t="n"/>
    </row>
    <row r="1714">
      <c r="C1714" s="60" t="n"/>
      <c r="D1714" s="60" t="n"/>
    </row>
    <row r="1715">
      <c r="C1715" s="60" t="n"/>
      <c r="D1715" s="60" t="n"/>
    </row>
    <row r="1716">
      <c r="C1716" s="60" t="n"/>
      <c r="D1716" s="60" t="n"/>
    </row>
    <row r="1717">
      <c r="C1717" s="60" t="n"/>
      <c r="D1717" s="60" t="n"/>
    </row>
    <row r="1718">
      <c r="C1718" s="60" t="n"/>
      <c r="D1718" s="60" t="n"/>
    </row>
    <row r="1719">
      <c r="C1719" s="60" t="n"/>
      <c r="D1719" s="60" t="n"/>
    </row>
    <row r="1720">
      <c r="C1720" s="60" t="n"/>
      <c r="D1720" s="60" t="n"/>
    </row>
    <row r="1721">
      <c r="C1721" s="60" t="n"/>
      <c r="D1721" s="60" t="n"/>
    </row>
    <row r="1722">
      <c r="C1722" s="60" t="n"/>
      <c r="D1722" s="60" t="n"/>
    </row>
    <row r="1723">
      <c r="C1723" s="60" t="n"/>
      <c r="D1723" s="60" t="n"/>
    </row>
    <row r="1724">
      <c r="C1724" s="60" t="n"/>
      <c r="D1724" s="60" t="n"/>
    </row>
    <row r="1725">
      <c r="C1725" s="60" t="n"/>
      <c r="D1725" s="60" t="n"/>
    </row>
    <row r="1726">
      <c r="C1726" s="60" t="n"/>
      <c r="D1726" s="60" t="n"/>
    </row>
    <row r="1727">
      <c r="C1727" s="60" t="n"/>
      <c r="D1727" s="60" t="n"/>
    </row>
    <row r="1728">
      <c r="C1728" s="60" t="n"/>
      <c r="D1728" s="60" t="n"/>
    </row>
    <row r="1729">
      <c r="C1729" s="60" t="n"/>
      <c r="D1729" s="60" t="n"/>
    </row>
    <row r="1730">
      <c r="C1730" s="60" t="n"/>
      <c r="D1730" s="60" t="n"/>
    </row>
    <row r="1731">
      <c r="C1731" s="60" t="n"/>
      <c r="D1731" s="60" t="n"/>
    </row>
    <row r="1732">
      <c r="C1732" s="60" t="n"/>
      <c r="D1732" s="60" t="n"/>
    </row>
    <row r="1733">
      <c r="C1733" s="60" t="n"/>
      <c r="D1733" s="60" t="n"/>
    </row>
    <row r="1734">
      <c r="C1734" s="60" t="n"/>
      <c r="D1734" s="60" t="n"/>
    </row>
    <row r="1735">
      <c r="C1735" s="60" t="n"/>
      <c r="D1735" s="60" t="n"/>
    </row>
    <row r="1736">
      <c r="C1736" s="60" t="n"/>
      <c r="D1736" s="60" t="n"/>
    </row>
    <row r="1737">
      <c r="C1737" s="60" t="n"/>
      <c r="D1737" s="60" t="n"/>
    </row>
    <row r="1738">
      <c r="C1738" s="60" t="n"/>
      <c r="D1738" s="60" t="n"/>
    </row>
    <row r="1739">
      <c r="C1739" s="60" t="n"/>
      <c r="D1739" s="60" t="n"/>
    </row>
    <row r="1740">
      <c r="C1740" s="60" t="n"/>
      <c r="D1740" s="60" t="n"/>
    </row>
    <row r="1741">
      <c r="C1741" s="60" t="n"/>
      <c r="D1741" s="60" t="n"/>
    </row>
    <row r="1742">
      <c r="C1742" s="60" t="n"/>
      <c r="D1742" s="60" t="n"/>
    </row>
    <row r="1743">
      <c r="C1743" s="60" t="n"/>
      <c r="D1743" s="60" t="n"/>
    </row>
    <row r="1744">
      <c r="C1744" s="60" t="n"/>
      <c r="D1744" s="60" t="n"/>
    </row>
    <row r="1745">
      <c r="C1745" s="60" t="n"/>
      <c r="D1745" s="60" t="n"/>
    </row>
    <row r="1746">
      <c r="C1746" s="60" t="n"/>
      <c r="D1746" s="60" t="n"/>
    </row>
    <row r="1747">
      <c r="C1747" s="60" t="n"/>
      <c r="D1747" s="60" t="n"/>
    </row>
    <row r="1748">
      <c r="C1748" s="60" t="n"/>
      <c r="D1748" s="60" t="n"/>
    </row>
    <row r="1749">
      <c r="C1749" s="60" t="n"/>
      <c r="D1749" s="60" t="n"/>
    </row>
    <row r="1750">
      <c r="C1750" s="60" t="n"/>
      <c r="D1750" s="60" t="n"/>
    </row>
    <row r="1751">
      <c r="C1751" s="60" t="n"/>
      <c r="D1751" s="60" t="n"/>
    </row>
    <row r="1752">
      <c r="C1752" s="60" t="n"/>
      <c r="D1752" s="60" t="n"/>
    </row>
    <row r="1753">
      <c r="C1753" s="60" t="n"/>
      <c r="D1753" s="60" t="n"/>
    </row>
    <row r="1754">
      <c r="C1754" s="60" t="n"/>
      <c r="D1754" s="60" t="n"/>
    </row>
    <row r="1755">
      <c r="C1755" s="60" t="n"/>
      <c r="D1755" s="60" t="n"/>
    </row>
    <row r="1756">
      <c r="C1756" s="60" t="n"/>
      <c r="D1756" s="60" t="n"/>
    </row>
    <row r="1757">
      <c r="C1757" s="60" t="n"/>
      <c r="D1757" s="60" t="n"/>
    </row>
    <row r="1758">
      <c r="C1758" s="60" t="n"/>
      <c r="D1758" s="60" t="n"/>
    </row>
    <row r="1759">
      <c r="C1759" s="60" t="n"/>
      <c r="D1759" s="60" t="n"/>
    </row>
    <row r="1760">
      <c r="C1760" s="60" t="n"/>
      <c r="D1760" s="60" t="n"/>
    </row>
    <row r="1761">
      <c r="C1761" s="60" t="n"/>
      <c r="D1761" s="60" t="n"/>
    </row>
    <row r="1762">
      <c r="C1762" s="60" t="n"/>
      <c r="D1762" s="60" t="n"/>
    </row>
    <row r="1763">
      <c r="C1763" s="60" t="n"/>
      <c r="D1763" s="60" t="n"/>
    </row>
    <row r="1764">
      <c r="C1764" s="60" t="n"/>
      <c r="D1764" s="60" t="n"/>
    </row>
    <row r="1765">
      <c r="C1765" s="60" t="n"/>
      <c r="D1765" s="60" t="n"/>
    </row>
    <row r="1766">
      <c r="C1766" s="60" t="n"/>
      <c r="D1766" s="60" t="n"/>
    </row>
    <row r="1767">
      <c r="C1767" s="60" t="n"/>
      <c r="D1767" s="60" t="n"/>
    </row>
    <row r="1768">
      <c r="C1768" s="60" t="n"/>
      <c r="D1768" s="60" t="n"/>
    </row>
    <row r="1769">
      <c r="C1769" s="60" t="n"/>
      <c r="D1769" s="60" t="n"/>
    </row>
    <row r="1770">
      <c r="C1770" s="60" t="n"/>
      <c r="D1770" s="60" t="n"/>
    </row>
    <row r="1771">
      <c r="C1771" s="60" t="n"/>
      <c r="D1771" s="60" t="n"/>
    </row>
    <row r="1772">
      <c r="C1772" s="60" t="n"/>
      <c r="D1772" s="60" t="n"/>
    </row>
    <row r="1773">
      <c r="C1773" s="60" t="n"/>
      <c r="D1773" s="60" t="n"/>
    </row>
    <row r="1774">
      <c r="C1774" s="60" t="n"/>
      <c r="D1774" s="60" t="n"/>
    </row>
    <row r="1775">
      <c r="C1775" s="60" t="n"/>
      <c r="D1775" s="60" t="n"/>
    </row>
    <row r="1776">
      <c r="C1776" s="60" t="n"/>
      <c r="D1776" s="60" t="n"/>
    </row>
    <row r="1777">
      <c r="C1777" s="60" t="n"/>
      <c r="D1777" s="60" t="n"/>
    </row>
    <row r="1778">
      <c r="C1778" s="60" t="n"/>
      <c r="D1778" s="60" t="n"/>
    </row>
    <row r="1779">
      <c r="C1779" s="60" t="n"/>
      <c r="D1779" s="60" t="n"/>
    </row>
    <row r="1780">
      <c r="C1780" s="60" t="n"/>
      <c r="D1780" s="60" t="n"/>
    </row>
    <row r="1781">
      <c r="C1781" s="60" t="n"/>
      <c r="D1781" s="60" t="n"/>
    </row>
    <row r="1782">
      <c r="C1782" s="60" t="n"/>
      <c r="D1782" s="60" t="n"/>
    </row>
    <row r="1783">
      <c r="C1783" s="60" t="n"/>
      <c r="D1783" s="60" t="n"/>
    </row>
    <row r="1784">
      <c r="C1784" s="60" t="n"/>
      <c r="D1784" s="60" t="n"/>
    </row>
    <row r="1785">
      <c r="C1785" s="60" t="n"/>
      <c r="D1785" s="60" t="n"/>
    </row>
    <row r="1786">
      <c r="C1786" s="60" t="n"/>
      <c r="D1786" s="60" t="n"/>
    </row>
    <row r="1787">
      <c r="C1787" s="60" t="n"/>
      <c r="D1787" s="60" t="n"/>
    </row>
    <row r="1788">
      <c r="C1788" s="60" t="n"/>
      <c r="D1788" s="60" t="n"/>
    </row>
    <row r="1789">
      <c r="C1789" s="60" t="n"/>
      <c r="D1789" s="60" t="n"/>
    </row>
    <row r="1790">
      <c r="C1790" s="60" t="n"/>
      <c r="D1790" s="60" t="n"/>
    </row>
    <row r="1791">
      <c r="C1791" s="60" t="n"/>
      <c r="D1791" s="60" t="n"/>
    </row>
    <row r="1792">
      <c r="C1792" s="60" t="n"/>
      <c r="D1792" s="60" t="n"/>
    </row>
    <row r="1793">
      <c r="C1793" s="60" t="n"/>
      <c r="D1793" s="60" t="n"/>
    </row>
    <row r="1794">
      <c r="C1794" s="60" t="n"/>
      <c r="D1794" s="60" t="n"/>
    </row>
    <row r="1795">
      <c r="C1795" s="60" t="n"/>
      <c r="D1795" s="60" t="n"/>
    </row>
    <row r="1796">
      <c r="C1796" s="60" t="n"/>
      <c r="D1796" s="60" t="n"/>
    </row>
    <row r="1797">
      <c r="C1797" s="60" t="n"/>
      <c r="D1797" s="60" t="n"/>
    </row>
    <row r="1798">
      <c r="C1798" s="60" t="n"/>
      <c r="D1798" s="60" t="n"/>
    </row>
    <row r="1799">
      <c r="C1799" s="60" t="n"/>
      <c r="D1799" s="60" t="n"/>
    </row>
    <row r="1800">
      <c r="C1800" s="60" t="n"/>
      <c r="D1800" s="60" t="n"/>
    </row>
    <row r="1801">
      <c r="C1801" s="60" t="n"/>
      <c r="D1801" s="60" t="n"/>
    </row>
    <row r="1802">
      <c r="C1802" s="60" t="n"/>
      <c r="D1802" s="60" t="n"/>
    </row>
    <row r="1803">
      <c r="C1803" s="60" t="n"/>
      <c r="D1803" s="60" t="n"/>
    </row>
    <row r="1804">
      <c r="C1804" s="60" t="n"/>
      <c r="D1804" s="60" t="n"/>
    </row>
    <row r="1805">
      <c r="C1805" s="60" t="n"/>
      <c r="D1805" s="60" t="n"/>
    </row>
    <row r="1806">
      <c r="C1806" s="60" t="n"/>
      <c r="D1806" s="60" t="n"/>
    </row>
    <row r="1807">
      <c r="C1807" s="60" t="n"/>
      <c r="D1807" s="60" t="n"/>
    </row>
    <row r="1808">
      <c r="C1808" s="60" t="n"/>
      <c r="D1808" s="60" t="n"/>
    </row>
    <row r="1809">
      <c r="C1809" s="60" t="n"/>
      <c r="D1809" s="60" t="n"/>
    </row>
    <row r="1810">
      <c r="C1810" s="60" t="n"/>
      <c r="D1810" s="60" t="n"/>
    </row>
    <row r="1811">
      <c r="C1811" s="60" t="n"/>
      <c r="D1811" s="60" t="n"/>
    </row>
    <row r="1812">
      <c r="C1812" s="60" t="n"/>
      <c r="D1812" s="60" t="n"/>
    </row>
    <row r="1813">
      <c r="C1813" s="60" t="n"/>
      <c r="D1813" s="60" t="n"/>
    </row>
    <row r="1814">
      <c r="C1814" s="60" t="n"/>
      <c r="D1814" s="60" t="n"/>
    </row>
    <row r="1815">
      <c r="C1815" s="60" t="n"/>
      <c r="D1815" s="60" t="n"/>
    </row>
    <row r="1816">
      <c r="C1816" s="60" t="n"/>
      <c r="D1816" s="60" t="n"/>
    </row>
    <row r="1817">
      <c r="C1817" s="60" t="n"/>
      <c r="D1817" s="60" t="n"/>
    </row>
    <row r="1818">
      <c r="C1818" s="60" t="n"/>
      <c r="D1818" s="60" t="n"/>
    </row>
    <row r="1819">
      <c r="C1819" s="60" t="n"/>
      <c r="D1819" s="60" t="n"/>
    </row>
    <row r="1820">
      <c r="C1820" s="60" t="n"/>
      <c r="D1820" s="60" t="n"/>
    </row>
    <row r="1821">
      <c r="C1821" s="60" t="n"/>
      <c r="D1821" s="60" t="n"/>
    </row>
    <row r="1822">
      <c r="C1822" s="60" t="n"/>
      <c r="D1822" s="60" t="n"/>
    </row>
    <row r="1823">
      <c r="C1823" s="60" t="n"/>
      <c r="D1823" s="60" t="n"/>
    </row>
    <row r="1824">
      <c r="C1824" s="60" t="n"/>
      <c r="D1824" s="60" t="n"/>
    </row>
    <row r="1825">
      <c r="C1825" s="60" t="n"/>
      <c r="D1825" s="60" t="n"/>
    </row>
    <row r="1826">
      <c r="C1826" s="60" t="n"/>
      <c r="D1826" s="60" t="n"/>
    </row>
    <row r="1827">
      <c r="C1827" s="60" t="n"/>
      <c r="D1827" s="60" t="n"/>
    </row>
    <row r="1828">
      <c r="C1828" s="60" t="n"/>
      <c r="D1828" s="60" t="n"/>
    </row>
    <row r="1829">
      <c r="C1829" s="60" t="n"/>
      <c r="D1829" s="60" t="n"/>
    </row>
    <row r="1830">
      <c r="C1830" s="60" t="n"/>
      <c r="D1830" s="60" t="n"/>
    </row>
    <row r="1831">
      <c r="C1831" s="60" t="n"/>
      <c r="D1831" s="60" t="n"/>
    </row>
    <row r="1832">
      <c r="C1832" s="60" t="n"/>
      <c r="D1832" s="60" t="n"/>
    </row>
    <row r="1833">
      <c r="C1833" s="60" t="n"/>
      <c r="D1833" s="60" t="n"/>
    </row>
    <row r="1834">
      <c r="C1834" s="60" t="n"/>
      <c r="D1834" s="60" t="n"/>
    </row>
    <row r="1835">
      <c r="C1835" s="60" t="n"/>
      <c r="D1835" s="60" t="n"/>
    </row>
    <row r="1836">
      <c r="C1836" s="60" t="n"/>
      <c r="D1836" s="60" t="n"/>
    </row>
    <row r="1837">
      <c r="C1837" s="60" t="n"/>
      <c r="D1837" s="60" t="n"/>
    </row>
    <row r="1838">
      <c r="C1838" s="60" t="n"/>
      <c r="D1838" s="60" t="n"/>
    </row>
    <row r="1839">
      <c r="C1839" s="60" t="n"/>
      <c r="D1839" s="60" t="n"/>
    </row>
    <row r="1840">
      <c r="C1840" s="60" t="n"/>
      <c r="D1840" s="60" t="n"/>
    </row>
    <row r="1841">
      <c r="C1841" s="60" t="n"/>
      <c r="D1841" s="60" t="n"/>
    </row>
    <row r="1842">
      <c r="C1842" s="60" t="n"/>
      <c r="D1842" s="60" t="n"/>
    </row>
    <row r="1843">
      <c r="C1843" s="60" t="n"/>
      <c r="D1843" s="60" t="n"/>
    </row>
    <row r="1844">
      <c r="C1844" s="60" t="n"/>
      <c r="D1844" s="60" t="n"/>
    </row>
    <row r="1845">
      <c r="C1845" s="60" t="n"/>
      <c r="D1845" s="60" t="n"/>
    </row>
    <row r="1846">
      <c r="C1846" s="60" t="n"/>
      <c r="D1846" s="60" t="n"/>
    </row>
    <row r="1847">
      <c r="C1847" s="60" t="n"/>
      <c r="D1847" s="60" t="n"/>
    </row>
    <row r="1848">
      <c r="C1848" s="60" t="n"/>
      <c r="D1848" s="60" t="n"/>
    </row>
    <row r="1849">
      <c r="C1849" s="60" t="n"/>
      <c r="D1849" s="60" t="n"/>
    </row>
    <row r="1850">
      <c r="C1850" s="60" t="n"/>
      <c r="D1850" s="60" t="n"/>
    </row>
    <row r="1851">
      <c r="C1851" s="60" t="n"/>
      <c r="D1851" s="60" t="n"/>
    </row>
    <row r="1852">
      <c r="C1852" s="60" t="n"/>
      <c r="D1852" s="60" t="n"/>
    </row>
    <row r="1853">
      <c r="C1853" s="60" t="n"/>
      <c r="D1853" s="60" t="n"/>
    </row>
    <row r="1854">
      <c r="C1854" s="60" t="n"/>
      <c r="D1854" s="60" t="n"/>
    </row>
    <row r="1855">
      <c r="C1855" s="60" t="n"/>
      <c r="D1855" s="60" t="n"/>
    </row>
    <row r="1856">
      <c r="C1856" s="60" t="n"/>
      <c r="D1856" s="60" t="n"/>
    </row>
    <row r="1857">
      <c r="C1857" s="60" t="n"/>
      <c r="D1857" s="60" t="n"/>
    </row>
    <row r="1858">
      <c r="C1858" s="60" t="n"/>
      <c r="D1858" s="60" t="n"/>
    </row>
    <row r="1859">
      <c r="C1859" s="60" t="n"/>
      <c r="D1859" s="60" t="n"/>
    </row>
    <row r="1860">
      <c r="C1860" s="60" t="n"/>
      <c r="D1860" s="60" t="n"/>
    </row>
    <row r="1861">
      <c r="C1861" s="60" t="n"/>
      <c r="D1861" s="60" t="n"/>
    </row>
    <row r="1862">
      <c r="C1862" s="60" t="n"/>
      <c r="D1862" s="60" t="n"/>
    </row>
    <row r="1863">
      <c r="C1863" s="60" t="n"/>
      <c r="D1863" s="60" t="n"/>
    </row>
    <row r="1864">
      <c r="C1864" s="60" t="n"/>
      <c r="D1864" s="60" t="n"/>
    </row>
    <row r="1865">
      <c r="C1865" s="60" t="n"/>
      <c r="D1865" s="60" t="n"/>
    </row>
    <row r="1866">
      <c r="C1866" s="60" t="n"/>
      <c r="D1866" s="60" t="n"/>
    </row>
    <row r="1867">
      <c r="C1867" s="60" t="n"/>
      <c r="D1867" s="60" t="n"/>
    </row>
    <row r="1868">
      <c r="C1868" s="60" t="n"/>
      <c r="D1868" s="60" t="n"/>
    </row>
    <row r="1869">
      <c r="C1869" s="60" t="n"/>
      <c r="D1869" s="60" t="n"/>
    </row>
    <row r="1870">
      <c r="C1870" s="60" t="n"/>
      <c r="D1870" s="60" t="n"/>
    </row>
    <row r="1871">
      <c r="C1871" s="60" t="n"/>
      <c r="D1871" s="60" t="n"/>
    </row>
    <row r="1872">
      <c r="C1872" s="60" t="n"/>
      <c r="D1872" s="60" t="n"/>
    </row>
    <row r="1873">
      <c r="C1873" s="60" t="n"/>
      <c r="D1873" s="60" t="n"/>
    </row>
    <row r="1874">
      <c r="C1874" s="60" t="n"/>
      <c r="D1874" s="60" t="n"/>
    </row>
    <row r="1875">
      <c r="C1875" s="60" t="n"/>
      <c r="D1875" s="60" t="n"/>
    </row>
    <row r="1876">
      <c r="C1876" s="60" t="n"/>
      <c r="D1876" s="60" t="n"/>
    </row>
    <row r="1877">
      <c r="C1877" s="60" t="n"/>
      <c r="D1877" s="60" t="n"/>
    </row>
    <row r="1878">
      <c r="C1878" s="60" t="n"/>
      <c r="D1878" s="60" t="n"/>
    </row>
    <row r="1879">
      <c r="C1879" s="60" t="n"/>
      <c r="D1879" s="60" t="n"/>
    </row>
    <row r="1880">
      <c r="C1880" s="60" t="n"/>
      <c r="D1880" s="60" t="n"/>
    </row>
    <row r="1881">
      <c r="C1881" s="60" t="n"/>
      <c r="D1881" s="60" t="n"/>
    </row>
    <row r="1882">
      <c r="C1882" s="60" t="n"/>
      <c r="D1882" s="60" t="n"/>
    </row>
    <row r="1883">
      <c r="C1883" s="60" t="n"/>
      <c r="D1883" s="60" t="n"/>
    </row>
    <row r="1884">
      <c r="C1884" s="60" t="n"/>
      <c r="D1884" s="60" t="n"/>
    </row>
    <row r="1885">
      <c r="C1885" s="60" t="n"/>
      <c r="D1885" s="60" t="n"/>
    </row>
    <row r="1886">
      <c r="C1886" s="60" t="n"/>
      <c r="D1886" s="60" t="n"/>
    </row>
    <row r="1887">
      <c r="C1887" s="60" t="n"/>
      <c r="D1887" s="60" t="n"/>
    </row>
    <row r="1888">
      <c r="C1888" s="60" t="n"/>
      <c r="D1888" s="60" t="n"/>
    </row>
    <row r="1889">
      <c r="C1889" s="60" t="n"/>
      <c r="D1889" s="60" t="n"/>
    </row>
    <row r="1890">
      <c r="C1890" s="60" t="n"/>
      <c r="D1890" s="60" t="n"/>
    </row>
    <row r="1891">
      <c r="C1891" s="60" t="n"/>
      <c r="D1891" s="60" t="n"/>
    </row>
    <row r="1892">
      <c r="C1892" s="60" t="n"/>
      <c r="D1892" s="60" t="n"/>
    </row>
    <row r="1893">
      <c r="C1893" s="60" t="n"/>
      <c r="D1893" s="60" t="n"/>
    </row>
    <row r="1894">
      <c r="C1894" s="60" t="n"/>
      <c r="D1894" s="60" t="n"/>
    </row>
    <row r="1895">
      <c r="C1895" s="60" t="n"/>
      <c r="D1895" s="60" t="n"/>
    </row>
    <row r="1896">
      <c r="C1896" s="60" t="n"/>
      <c r="D1896" s="60" t="n"/>
    </row>
    <row r="1897">
      <c r="C1897" s="60" t="n"/>
      <c r="D1897" s="60" t="n"/>
    </row>
    <row r="1898">
      <c r="C1898" s="60" t="n"/>
      <c r="D1898" s="60" t="n"/>
    </row>
    <row r="1899">
      <c r="C1899" s="60" t="n"/>
      <c r="D1899" s="60" t="n"/>
    </row>
    <row r="1900">
      <c r="C1900" s="60" t="n"/>
      <c r="D1900" s="60" t="n"/>
    </row>
    <row r="1901">
      <c r="C1901" s="60" t="n"/>
      <c r="D1901" s="60" t="n"/>
    </row>
    <row r="1902">
      <c r="C1902" s="60" t="n"/>
      <c r="D1902" s="60" t="n"/>
    </row>
    <row r="1903">
      <c r="C1903" s="60" t="n"/>
      <c r="D1903" s="60" t="n"/>
    </row>
    <row r="1904">
      <c r="C1904" s="60" t="n"/>
      <c r="D1904" s="60" t="n"/>
    </row>
    <row r="1905">
      <c r="C1905" s="60" t="n"/>
      <c r="D1905" s="60" t="n"/>
    </row>
    <row r="1906">
      <c r="C1906" s="60" t="n"/>
      <c r="D1906" s="60" t="n"/>
    </row>
    <row r="1907">
      <c r="C1907" s="60" t="n"/>
      <c r="D1907" s="60" t="n"/>
    </row>
    <row r="1908">
      <c r="C1908" s="60" t="n"/>
      <c r="D1908" s="60" t="n"/>
    </row>
    <row r="1909">
      <c r="C1909" s="60" t="n"/>
      <c r="D1909" s="60" t="n"/>
    </row>
    <row r="1910">
      <c r="C1910" s="60" t="n"/>
      <c r="D1910" s="60" t="n"/>
    </row>
    <row r="1911">
      <c r="C1911" s="60" t="n"/>
      <c r="D1911" s="60" t="n"/>
    </row>
    <row r="1912">
      <c r="C1912" s="60" t="n"/>
      <c r="D1912" s="60" t="n"/>
    </row>
    <row r="1913">
      <c r="C1913" s="60" t="n"/>
      <c r="D1913" s="60" t="n"/>
    </row>
    <row r="1914">
      <c r="C1914" s="60" t="n"/>
      <c r="D1914" s="60" t="n"/>
    </row>
    <row r="1915">
      <c r="C1915" s="60" t="n"/>
      <c r="D1915" s="60" t="n"/>
    </row>
    <row r="1916">
      <c r="C1916" s="60" t="n"/>
      <c r="D1916" s="60" t="n"/>
    </row>
    <row r="1917">
      <c r="C1917" s="60" t="n"/>
      <c r="D1917" s="60" t="n"/>
    </row>
    <row r="1918">
      <c r="C1918" s="60" t="n"/>
      <c r="D1918" s="60" t="n"/>
    </row>
    <row r="1919">
      <c r="C1919" s="60" t="n"/>
      <c r="D1919" s="60" t="n"/>
    </row>
    <row r="1920">
      <c r="C1920" s="60" t="n"/>
      <c r="D1920" s="60" t="n"/>
    </row>
    <row r="1921">
      <c r="C1921" s="60" t="n"/>
      <c r="D1921" s="60" t="n"/>
    </row>
    <row r="1922">
      <c r="C1922" s="60" t="n"/>
      <c r="D1922" s="60" t="n"/>
    </row>
    <row r="1923">
      <c r="C1923" s="60" t="n"/>
      <c r="D1923" s="60" t="n"/>
    </row>
    <row r="1924">
      <c r="C1924" s="60" t="n"/>
      <c r="D1924" s="60" t="n"/>
    </row>
    <row r="1925">
      <c r="C1925" s="60" t="n"/>
      <c r="D1925" s="60" t="n"/>
    </row>
    <row r="1926">
      <c r="C1926" s="60" t="n"/>
      <c r="D1926" s="60" t="n"/>
    </row>
    <row r="1927">
      <c r="C1927" s="60" t="n"/>
      <c r="D1927" s="60" t="n"/>
    </row>
    <row r="1928">
      <c r="C1928" s="60" t="n"/>
      <c r="D1928" s="60" t="n"/>
    </row>
    <row r="1929">
      <c r="C1929" s="60" t="n"/>
      <c r="D1929" s="60" t="n"/>
    </row>
    <row r="1930">
      <c r="C1930" s="60" t="n"/>
      <c r="D1930" s="60" t="n"/>
    </row>
    <row r="1931">
      <c r="C1931" s="60" t="n"/>
      <c r="D1931" s="60" t="n"/>
    </row>
    <row r="1932">
      <c r="C1932" s="60" t="n"/>
      <c r="D1932" s="60" t="n"/>
    </row>
    <row r="1933">
      <c r="C1933" s="60" t="n"/>
      <c r="D1933" s="60" t="n"/>
    </row>
    <row r="1934">
      <c r="C1934" s="60" t="n"/>
      <c r="D1934" s="60" t="n"/>
    </row>
    <row r="1935">
      <c r="C1935" s="60" t="n"/>
      <c r="D1935" s="60" t="n"/>
    </row>
    <row r="1936">
      <c r="C1936" s="60" t="n"/>
      <c r="D1936" s="60" t="n"/>
    </row>
    <row r="1937">
      <c r="C1937" s="60" t="n"/>
      <c r="D1937" s="60" t="n"/>
    </row>
    <row r="1938">
      <c r="C1938" s="60" t="n"/>
      <c r="D1938" s="60" t="n"/>
    </row>
    <row r="1939">
      <c r="C1939" s="60" t="n"/>
      <c r="D1939" s="60" t="n"/>
    </row>
    <row r="1940">
      <c r="C1940" s="60" t="n"/>
      <c r="D1940" s="60" t="n"/>
    </row>
    <row r="1941">
      <c r="C1941" s="60" t="n"/>
      <c r="D1941" s="60" t="n"/>
    </row>
    <row r="1942">
      <c r="C1942" s="60" t="n"/>
      <c r="D1942" s="60" t="n"/>
    </row>
    <row r="1943">
      <c r="C1943" s="60" t="n"/>
      <c r="D1943" s="60" t="n"/>
    </row>
    <row r="1944">
      <c r="C1944" s="60" t="n"/>
      <c r="D1944" s="60" t="n"/>
    </row>
    <row r="1945">
      <c r="C1945" s="60" t="n"/>
      <c r="D1945" s="60" t="n"/>
    </row>
    <row r="1946">
      <c r="C1946" s="60" t="n"/>
      <c r="D1946" s="60" t="n"/>
    </row>
    <row r="1947">
      <c r="C1947" s="60" t="n"/>
      <c r="D1947" s="60" t="n"/>
    </row>
    <row r="1948">
      <c r="C1948" s="60" t="n"/>
      <c r="D1948" s="60" t="n"/>
    </row>
    <row r="1949">
      <c r="C1949" s="60" t="n"/>
      <c r="D1949" s="60" t="n"/>
    </row>
    <row r="1950">
      <c r="C1950" s="60" t="n"/>
      <c r="D1950" s="60" t="n"/>
    </row>
    <row r="1951">
      <c r="C1951" s="60" t="n"/>
      <c r="D1951" s="60" t="n"/>
    </row>
    <row r="1952">
      <c r="C1952" s="60" t="n"/>
      <c r="D1952" s="60" t="n"/>
    </row>
    <row r="1953">
      <c r="C1953" s="60" t="n"/>
      <c r="D1953" s="60" t="n"/>
    </row>
    <row r="1954">
      <c r="C1954" s="60" t="n"/>
      <c r="D1954" s="60" t="n"/>
    </row>
    <row r="1955">
      <c r="C1955" s="60" t="n"/>
      <c r="D1955" s="60" t="n"/>
    </row>
    <row r="1956">
      <c r="C1956" s="60" t="n"/>
      <c r="D1956" s="60" t="n"/>
    </row>
    <row r="1957">
      <c r="C1957" s="60" t="n"/>
      <c r="D1957" s="60" t="n"/>
    </row>
    <row r="1958">
      <c r="C1958" s="60" t="n"/>
      <c r="D1958" s="60" t="n"/>
    </row>
    <row r="1959">
      <c r="C1959" s="60" t="n"/>
      <c r="D1959" s="60" t="n"/>
    </row>
    <row r="1960">
      <c r="C1960" s="60" t="n"/>
      <c r="D1960" s="60" t="n"/>
    </row>
    <row r="1961">
      <c r="C1961" s="60" t="n"/>
      <c r="D1961" s="60" t="n"/>
    </row>
    <row r="1962">
      <c r="C1962" s="60" t="n"/>
      <c r="D1962" s="60" t="n"/>
    </row>
    <row r="1963">
      <c r="C1963" s="60" t="n"/>
      <c r="D1963" s="60" t="n"/>
    </row>
    <row r="1964">
      <c r="C1964" s="60" t="n"/>
      <c r="D1964" s="60" t="n"/>
    </row>
    <row r="1965">
      <c r="C1965" s="60" t="n"/>
      <c r="D1965" s="60" t="n"/>
    </row>
    <row r="1966">
      <c r="C1966" s="60" t="n"/>
      <c r="D1966" s="60" t="n"/>
    </row>
    <row r="1967">
      <c r="C1967" s="60" t="n"/>
      <c r="D1967" s="60" t="n"/>
    </row>
    <row r="1968">
      <c r="C1968" s="60" t="n"/>
      <c r="D1968" s="60" t="n"/>
    </row>
    <row r="1969">
      <c r="C1969" s="60" t="n"/>
      <c r="D1969" s="60" t="n"/>
    </row>
    <row r="1970">
      <c r="C1970" s="60" t="n"/>
      <c r="D1970" s="60" t="n"/>
    </row>
    <row r="1971">
      <c r="C1971" s="60" t="n"/>
      <c r="D1971" s="60" t="n"/>
    </row>
    <row r="1972">
      <c r="C1972" s="60" t="n"/>
      <c r="D1972" s="60" t="n"/>
    </row>
    <row r="1973">
      <c r="C1973" s="60" t="n"/>
      <c r="D1973" s="60" t="n"/>
    </row>
    <row r="1974">
      <c r="C1974" s="60" t="n"/>
      <c r="D1974" s="60" t="n"/>
    </row>
    <row r="1975">
      <c r="C1975" s="60" t="n"/>
      <c r="D1975" s="60" t="n"/>
    </row>
    <row r="1976">
      <c r="C1976" s="60" t="n"/>
      <c r="D1976" s="60" t="n"/>
    </row>
    <row r="1977">
      <c r="C1977" s="60" t="n"/>
      <c r="D1977" s="60" t="n"/>
    </row>
    <row r="1978">
      <c r="C1978" s="60" t="n"/>
      <c r="D1978" s="60" t="n"/>
    </row>
    <row r="1979">
      <c r="C1979" s="60" t="n"/>
      <c r="D1979" s="60" t="n"/>
    </row>
    <row r="1980">
      <c r="C1980" s="60" t="n"/>
      <c r="D1980" s="60" t="n"/>
    </row>
    <row r="1981">
      <c r="C1981" s="60" t="n"/>
      <c r="D1981" s="60" t="n"/>
    </row>
    <row r="1982">
      <c r="C1982" s="60" t="n"/>
      <c r="D1982" s="60" t="n"/>
    </row>
    <row r="1983">
      <c r="C1983" s="60" t="n"/>
      <c r="D1983" s="60" t="n"/>
    </row>
    <row r="1984">
      <c r="C1984" s="60" t="n"/>
      <c r="D1984" s="60" t="n"/>
    </row>
    <row r="1985">
      <c r="C1985" s="60" t="n"/>
      <c r="D1985" s="60" t="n"/>
    </row>
    <row r="1986">
      <c r="C1986" s="60" t="n"/>
      <c r="D1986" s="60" t="n"/>
    </row>
    <row r="1987">
      <c r="C1987" s="60" t="n"/>
      <c r="D1987" s="60" t="n"/>
    </row>
    <row r="1988">
      <c r="C1988" s="60" t="n"/>
      <c r="D1988" s="60" t="n"/>
    </row>
    <row r="1989">
      <c r="C1989" s="60" t="n"/>
      <c r="D1989" s="60" t="n"/>
    </row>
    <row r="1990">
      <c r="C1990" s="60" t="n"/>
      <c r="D1990" s="60" t="n"/>
    </row>
    <row r="1991">
      <c r="C1991" s="60" t="n"/>
      <c r="D1991" s="60" t="n"/>
    </row>
    <row r="1992">
      <c r="C1992" s="60" t="n"/>
      <c r="D1992" s="60" t="n"/>
    </row>
    <row r="1993">
      <c r="C1993" s="60" t="n"/>
      <c r="D1993" s="60" t="n"/>
    </row>
    <row r="1994">
      <c r="C1994" s="60" t="n"/>
      <c r="D1994" s="60" t="n"/>
    </row>
    <row r="1995">
      <c r="C1995" s="60" t="n"/>
      <c r="D1995" s="60" t="n"/>
    </row>
    <row r="1996">
      <c r="C1996" s="60" t="n"/>
      <c r="D1996" s="60" t="n"/>
    </row>
    <row r="1997">
      <c r="C1997" s="60" t="n"/>
      <c r="D1997" s="60" t="n"/>
    </row>
    <row r="1998">
      <c r="C1998" s="60" t="n"/>
      <c r="D1998" s="60" t="n"/>
    </row>
    <row r="1999">
      <c r="C1999" s="60" t="n"/>
      <c r="D1999" s="60" t="n"/>
    </row>
    <row r="2000">
      <c r="C2000" s="60" t="n"/>
      <c r="D2000" s="60" t="n"/>
    </row>
    <row r="2001">
      <c r="C2001" s="60" t="n"/>
      <c r="D2001" s="60" t="n"/>
    </row>
    <row r="2002">
      <c r="C2002" s="60" t="n"/>
      <c r="D2002" s="60" t="n"/>
    </row>
    <row r="2003">
      <c r="C2003" s="60" t="n"/>
      <c r="D2003" s="60" t="n"/>
    </row>
    <row r="2004">
      <c r="C2004" s="60" t="n"/>
      <c r="D2004" s="60" t="n"/>
    </row>
    <row r="2005">
      <c r="C2005" s="60" t="n"/>
      <c r="D2005" s="60" t="n"/>
    </row>
    <row r="2006">
      <c r="C2006" s="60" t="n"/>
      <c r="D2006" s="60" t="n"/>
    </row>
    <row r="2007">
      <c r="C2007" s="60" t="n"/>
      <c r="D2007" s="60" t="n"/>
    </row>
    <row r="2008">
      <c r="C2008" s="60" t="n"/>
      <c r="D2008" s="60" t="n"/>
    </row>
    <row r="2009">
      <c r="C2009" s="60" t="n"/>
      <c r="D2009" s="60" t="n"/>
    </row>
    <row r="2010">
      <c r="C2010" s="60" t="n"/>
      <c r="D2010" s="60" t="n"/>
    </row>
    <row r="2011">
      <c r="C2011" s="60" t="n"/>
      <c r="D2011" s="60" t="n"/>
    </row>
    <row r="2012">
      <c r="C2012" s="60" t="n"/>
      <c r="D2012" s="60" t="n"/>
    </row>
    <row r="2013">
      <c r="C2013" s="60" t="n"/>
      <c r="D2013" s="60" t="n"/>
    </row>
    <row r="2014">
      <c r="C2014" s="60" t="n"/>
      <c r="D2014" s="60" t="n"/>
    </row>
    <row r="2015">
      <c r="C2015" s="60" t="n"/>
      <c r="D2015" s="60" t="n"/>
    </row>
    <row r="2016">
      <c r="C2016" s="60" t="n"/>
      <c r="D2016" s="60" t="n"/>
    </row>
    <row r="2017">
      <c r="C2017" s="60" t="n"/>
      <c r="D2017" s="60" t="n"/>
    </row>
    <row r="2018">
      <c r="C2018" s="60" t="n"/>
      <c r="D2018" s="60" t="n"/>
    </row>
    <row r="2019">
      <c r="C2019" s="60" t="n"/>
      <c r="D2019" s="60" t="n"/>
    </row>
    <row r="2020">
      <c r="C2020" s="60" t="n"/>
      <c r="D2020" s="60" t="n"/>
    </row>
    <row r="2021">
      <c r="C2021" s="60" t="n"/>
      <c r="D2021" s="60" t="n"/>
    </row>
    <row r="2022">
      <c r="C2022" s="60" t="n"/>
      <c r="D2022" s="60" t="n"/>
    </row>
    <row r="2023">
      <c r="C2023" s="60" t="n"/>
      <c r="D2023" s="60" t="n"/>
    </row>
    <row r="2024">
      <c r="C2024" s="60" t="n"/>
      <c r="D2024" s="60" t="n"/>
    </row>
    <row r="2025">
      <c r="C2025" s="60" t="n"/>
      <c r="D2025" s="60" t="n"/>
    </row>
    <row r="2026">
      <c r="C2026" s="60" t="n"/>
      <c r="D2026" s="60" t="n"/>
    </row>
    <row r="2027">
      <c r="C2027" s="60" t="n"/>
      <c r="D2027" s="60" t="n"/>
    </row>
    <row r="2028">
      <c r="C2028" s="60" t="n"/>
      <c r="D2028" s="60" t="n"/>
    </row>
    <row r="2029">
      <c r="C2029" s="60" t="n"/>
      <c r="D2029" s="60" t="n"/>
    </row>
    <row r="2030">
      <c r="C2030" s="60" t="n"/>
      <c r="D2030" s="60" t="n"/>
    </row>
    <row r="2031">
      <c r="C2031" s="60" t="n"/>
      <c r="D2031" s="60" t="n"/>
    </row>
    <row r="2032">
      <c r="C2032" s="60" t="n"/>
      <c r="D2032" s="60" t="n"/>
    </row>
    <row r="2033">
      <c r="C2033" s="60" t="n"/>
      <c r="D2033" s="60" t="n"/>
    </row>
    <row r="2034">
      <c r="C2034" s="60" t="n"/>
      <c r="D2034" s="60" t="n"/>
    </row>
    <row r="2035">
      <c r="C2035" s="60" t="n"/>
      <c r="D2035" s="60" t="n"/>
    </row>
    <row r="2036">
      <c r="C2036" s="60" t="n"/>
      <c r="D2036" s="60" t="n"/>
    </row>
    <row r="2037">
      <c r="C2037" s="60" t="n"/>
      <c r="D2037" s="60" t="n"/>
    </row>
    <row r="2038">
      <c r="C2038" s="60" t="n"/>
      <c r="D2038" s="60" t="n"/>
    </row>
    <row r="2039">
      <c r="C2039" s="60" t="n"/>
      <c r="D2039" s="60" t="n"/>
    </row>
    <row r="2040">
      <c r="C2040" s="60" t="n"/>
      <c r="D2040" s="60" t="n"/>
    </row>
    <row r="2041">
      <c r="C2041" s="60" t="n"/>
      <c r="D2041" s="60" t="n"/>
    </row>
    <row r="2042">
      <c r="C2042" s="60" t="n"/>
      <c r="D2042" s="60" t="n"/>
    </row>
    <row r="2043">
      <c r="C2043" s="60" t="n"/>
      <c r="D2043" s="60" t="n"/>
    </row>
    <row r="2044">
      <c r="C2044" s="60" t="n"/>
      <c r="D2044" s="60" t="n"/>
    </row>
    <row r="2045">
      <c r="C2045" s="60" t="n"/>
      <c r="D2045" s="60" t="n"/>
    </row>
    <row r="2046">
      <c r="C2046" s="60" t="n"/>
      <c r="D2046" s="60" t="n"/>
    </row>
    <row r="2047">
      <c r="C2047" s="60" t="n"/>
      <c r="D2047" s="60" t="n"/>
    </row>
    <row r="2048">
      <c r="C2048" s="60" t="n"/>
      <c r="D2048" s="60" t="n"/>
    </row>
    <row r="2049">
      <c r="C2049" s="60" t="n"/>
      <c r="D2049" s="60" t="n"/>
    </row>
    <row r="2050">
      <c r="C2050" s="60" t="n"/>
      <c r="D2050" s="60" t="n"/>
    </row>
    <row r="2051">
      <c r="C2051" s="60" t="n"/>
      <c r="D2051" s="60" t="n"/>
    </row>
    <row r="2052">
      <c r="C2052" s="60" t="n"/>
      <c r="D2052" s="60" t="n"/>
    </row>
    <row r="2053">
      <c r="C2053" s="60" t="n"/>
      <c r="D2053" s="60" t="n"/>
    </row>
    <row r="2054">
      <c r="C2054" s="60" t="n"/>
      <c r="D2054" s="60" t="n"/>
    </row>
    <row r="2055">
      <c r="C2055" s="60" t="n"/>
      <c r="D2055" s="60" t="n"/>
    </row>
    <row r="2056">
      <c r="C2056" s="60" t="n"/>
      <c r="D2056" s="60" t="n"/>
    </row>
    <row r="2057">
      <c r="C2057" s="60" t="n"/>
      <c r="D2057" s="60" t="n"/>
    </row>
    <row r="2058">
      <c r="C2058" s="60" t="n"/>
      <c r="D2058" s="60" t="n"/>
    </row>
    <row r="2059">
      <c r="C2059" s="60" t="n"/>
      <c r="D2059" s="60" t="n"/>
    </row>
    <row r="2060">
      <c r="C2060" s="60" t="n"/>
      <c r="D2060" s="60" t="n"/>
    </row>
    <row r="2061">
      <c r="C2061" s="60" t="n"/>
      <c r="D2061" s="60" t="n"/>
    </row>
    <row r="2062">
      <c r="C2062" s="60" t="n"/>
      <c r="D2062" s="60" t="n"/>
    </row>
    <row r="2063">
      <c r="C2063" s="60" t="n"/>
      <c r="D2063" s="60" t="n"/>
    </row>
    <row r="2064">
      <c r="C2064" s="60" t="n"/>
      <c r="D2064" s="60" t="n"/>
    </row>
    <row r="2065">
      <c r="C2065" s="60" t="n"/>
      <c r="D2065" s="60" t="n"/>
    </row>
    <row r="2066">
      <c r="C2066" s="60" t="n"/>
      <c r="D2066" s="60" t="n"/>
    </row>
    <row r="2067">
      <c r="C2067" s="60" t="n"/>
      <c r="D2067" s="60" t="n"/>
    </row>
    <row r="2068">
      <c r="C2068" s="60" t="n"/>
      <c r="D2068" s="60" t="n"/>
    </row>
    <row r="2069">
      <c r="C2069" s="60" t="n"/>
      <c r="D2069" s="60" t="n"/>
    </row>
    <row r="2070">
      <c r="C2070" s="60" t="n"/>
      <c r="D2070" s="60" t="n"/>
    </row>
    <row r="2071">
      <c r="C2071" s="60" t="n"/>
      <c r="D2071" s="60" t="n"/>
    </row>
    <row r="2072">
      <c r="C2072" s="60" t="n"/>
      <c r="D2072" s="60" t="n"/>
    </row>
    <row r="2073">
      <c r="C2073" s="60" t="n"/>
      <c r="D2073" s="60" t="n"/>
    </row>
    <row r="2074">
      <c r="C2074" s="60" t="n"/>
      <c r="D2074" s="60" t="n"/>
    </row>
    <row r="2075">
      <c r="C2075" s="60" t="n"/>
      <c r="D2075" s="60" t="n"/>
    </row>
    <row r="2076">
      <c r="C2076" s="60" t="n"/>
      <c r="D2076" s="60" t="n"/>
    </row>
    <row r="2077">
      <c r="C2077" s="60" t="n"/>
      <c r="D2077" s="60" t="n"/>
    </row>
    <row r="2078">
      <c r="C2078" s="60" t="n"/>
      <c r="D2078" s="60" t="n"/>
    </row>
    <row r="2079">
      <c r="C2079" s="60" t="n"/>
      <c r="D2079" s="60" t="n"/>
    </row>
    <row r="2080">
      <c r="C2080" s="60" t="n"/>
      <c r="D2080" s="60" t="n"/>
    </row>
    <row r="2081">
      <c r="C2081" s="60" t="n"/>
      <c r="D2081" s="60" t="n"/>
    </row>
    <row r="2082">
      <c r="C2082" s="60" t="n"/>
      <c r="D2082" s="60" t="n"/>
    </row>
    <row r="2083">
      <c r="C2083" s="60" t="n"/>
      <c r="D2083" s="60" t="n"/>
    </row>
    <row r="2084">
      <c r="C2084" s="60" t="n"/>
      <c r="D2084" s="60" t="n"/>
    </row>
    <row r="2085">
      <c r="C2085" s="60" t="n"/>
      <c r="D2085" s="60" t="n"/>
    </row>
    <row r="2086">
      <c r="C2086" s="60" t="n"/>
      <c r="D2086" s="60" t="n"/>
    </row>
    <row r="2087">
      <c r="C2087" s="60" t="n"/>
      <c r="D2087" s="60" t="n"/>
    </row>
    <row r="2088">
      <c r="C2088" s="60" t="n"/>
      <c r="D2088" s="60" t="n"/>
    </row>
    <row r="2089">
      <c r="C2089" s="60" t="n"/>
      <c r="D2089" s="60" t="n"/>
    </row>
    <row r="2090">
      <c r="C2090" s="60" t="n"/>
      <c r="D2090" s="60" t="n"/>
    </row>
    <row r="2091">
      <c r="C2091" s="60" t="n"/>
      <c r="D2091" s="60" t="n"/>
    </row>
    <row r="2092">
      <c r="C2092" s="60" t="n"/>
      <c r="D2092" s="60" t="n"/>
    </row>
    <row r="2093">
      <c r="C2093" s="60" t="n"/>
      <c r="D2093" s="60" t="n"/>
    </row>
    <row r="2094">
      <c r="C2094" s="60" t="n"/>
      <c r="D2094" s="60" t="n"/>
    </row>
    <row r="2095">
      <c r="C2095" s="60" t="n"/>
      <c r="D2095" s="60" t="n"/>
    </row>
    <row r="2096">
      <c r="C2096" s="60" t="n"/>
      <c r="D2096" s="60" t="n"/>
    </row>
    <row r="2097">
      <c r="C2097" s="60" t="n"/>
      <c r="D2097" s="60" t="n"/>
    </row>
    <row r="2098">
      <c r="C2098" s="60" t="n"/>
      <c r="D2098" s="60" t="n"/>
    </row>
    <row r="2099">
      <c r="C2099" s="60" t="n"/>
      <c r="D2099" s="60" t="n"/>
    </row>
    <row r="2100">
      <c r="C2100" s="60" t="n"/>
      <c r="D2100" s="60" t="n"/>
    </row>
    <row r="2101">
      <c r="C2101" s="60" t="n"/>
      <c r="D2101" s="60" t="n"/>
    </row>
    <row r="2102">
      <c r="C2102" s="60" t="n"/>
      <c r="D2102" s="60" t="n"/>
    </row>
    <row r="2103">
      <c r="C2103" s="60" t="n"/>
      <c r="D2103" s="60" t="n"/>
    </row>
    <row r="2104">
      <c r="C2104" s="60" t="n"/>
      <c r="D2104" s="60" t="n"/>
    </row>
    <row r="2105">
      <c r="C2105" s="60" t="n"/>
      <c r="D2105" s="60" t="n"/>
    </row>
    <row r="2106">
      <c r="C2106" s="60" t="n"/>
      <c r="D2106" s="60" t="n"/>
    </row>
    <row r="2107">
      <c r="C2107" s="60" t="n"/>
      <c r="D2107" s="60" t="n"/>
    </row>
    <row r="2108">
      <c r="C2108" s="60" t="n"/>
      <c r="D2108" s="60" t="n"/>
    </row>
    <row r="2109">
      <c r="C2109" s="60" t="n"/>
      <c r="D2109" s="60" t="n"/>
    </row>
    <row r="2110">
      <c r="C2110" s="60" t="n"/>
      <c r="D2110" s="60" t="n"/>
    </row>
    <row r="2111">
      <c r="C2111" s="60" t="n"/>
      <c r="D2111" s="60" t="n"/>
    </row>
    <row r="2112">
      <c r="C2112" s="60" t="n"/>
      <c r="D2112" s="60" t="n"/>
    </row>
    <row r="2113">
      <c r="C2113" s="60" t="n"/>
      <c r="D2113" s="60" t="n"/>
    </row>
    <row r="2114">
      <c r="C2114" s="60" t="n"/>
      <c r="D2114" s="60" t="n"/>
    </row>
    <row r="2115">
      <c r="C2115" s="60" t="n"/>
      <c r="D2115" s="60" t="n"/>
    </row>
    <row r="2116">
      <c r="C2116" s="60" t="n"/>
      <c r="D2116" s="60" t="n"/>
    </row>
    <row r="2117">
      <c r="C2117" s="60" t="n"/>
      <c r="D2117" s="60" t="n"/>
    </row>
    <row r="2118">
      <c r="C2118" s="60" t="n"/>
      <c r="D2118" s="60" t="n"/>
    </row>
    <row r="2119">
      <c r="C2119" s="60" t="n"/>
      <c r="D2119" s="60" t="n"/>
    </row>
    <row r="2120">
      <c r="C2120" s="60" t="n"/>
      <c r="D2120" s="60" t="n"/>
    </row>
    <row r="2121">
      <c r="C2121" s="60" t="n"/>
      <c r="D2121" s="60" t="n"/>
    </row>
    <row r="2122">
      <c r="C2122" s="60" t="n"/>
      <c r="D2122" s="60" t="n"/>
    </row>
    <row r="2123">
      <c r="C2123" s="60" t="n"/>
      <c r="D2123" s="60" t="n"/>
    </row>
    <row r="2124">
      <c r="C2124" s="60" t="n"/>
      <c r="D2124" s="60" t="n"/>
    </row>
    <row r="2125">
      <c r="C2125" s="60" t="n"/>
      <c r="D2125" s="60" t="n"/>
    </row>
    <row r="2126">
      <c r="C2126" s="60" t="n"/>
      <c r="D2126" s="60" t="n"/>
    </row>
    <row r="2127">
      <c r="C2127" s="60" t="n"/>
      <c r="D2127" s="60" t="n"/>
    </row>
    <row r="2128">
      <c r="C2128" s="60" t="n"/>
      <c r="D2128" s="60" t="n"/>
    </row>
    <row r="2129">
      <c r="C2129" s="60" t="n"/>
      <c r="D2129" s="60" t="n"/>
    </row>
    <row r="2130">
      <c r="C2130" s="60" t="n"/>
      <c r="D2130" s="60" t="n"/>
    </row>
    <row r="2131">
      <c r="C2131" s="60" t="n"/>
      <c r="D2131" s="60" t="n"/>
    </row>
    <row r="2132">
      <c r="C2132" s="60" t="n"/>
      <c r="D2132" s="60" t="n"/>
    </row>
    <row r="2133">
      <c r="C2133" s="60" t="n"/>
      <c r="D2133" s="60" t="n"/>
    </row>
    <row r="2134">
      <c r="C2134" s="60" t="n"/>
      <c r="D2134" s="60" t="n"/>
    </row>
    <row r="2135">
      <c r="C2135" s="60" t="n"/>
      <c r="D2135" s="60" t="n"/>
    </row>
    <row r="2136">
      <c r="C2136" s="60" t="n"/>
      <c r="D2136" s="60" t="n"/>
    </row>
    <row r="2137">
      <c r="C2137" s="60" t="n"/>
      <c r="D2137" s="60" t="n"/>
    </row>
    <row r="2138">
      <c r="C2138" s="60" t="n"/>
      <c r="D2138" s="60" t="n"/>
    </row>
    <row r="2139">
      <c r="C2139" s="60" t="n"/>
      <c r="D2139" s="60" t="n"/>
    </row>
    <row r="2140">
      <c r="C2140" s="60" t="n"/>
      <c r="D2140" s="60" t="n"/>
    </row>
    <row r="2141">
      <c r="C2141" s="60" t="n"/>
      <c r="D2141" s="60" t="n"/>
    </row>
    <row r="2142">
      <c r="C2142" s="60" t="n"/>
      <c r="D2142" s="60" t="n"/>
    </row>
    <row r="2143">
      <c r="C2143" s="60" t="n"/>
      <c r="D2143" s="60" t="n"/>
    </row>
    <row r="2144">
      <c r="C2144" s="60" t="n"/>
      <c r="D2144" s="60" t="n"/>
    </row>
    <row r="2145">
      <c r="C2145" s="60" t="n"/>
      <c r="D2145" s="60" t="n"/>
    </row>
    <row r="2146">
      <c r="C2146" s="60" t="n"/>
      <c r="D2146" s="60" t="n"/>
    </row>
    <row r="2147">
      <c r="C2147" s="60" t="n"/>
      <c r="D2147" s="60" t="n"/>
    </row>
    <row r="2148">
      <c r="C2148" s="60" t="n"/>
      <c r="D2148" s="60" t="n"/>
    </row>
    <row r="2149">
      <c r="C2149" s="60" t="n"/>
      <c r="D2149" s="60" t="n"/>
    </row>
    <row r="2150">
      <c r="C2150" s="60" t="n"/>
      <c r="D2150" s="60" t="n"/>
    </row>
    <row r="2151">
      <c r="C2151" s="60" t="n"/>
      <c r="D2151" s="60" t="n"/>
    </row>
    <row r="2152">
      <c r="C2152" s="60" t="n"/>
      <c r="D2152" s="60" t="n"/>
    </row>
    <row r="2153">
      <c r="C2153" s="60" t="n"/>
      <c r="D2153" s="60" t="n"/>
    </row>
    <row r="2154">
      <c r="C2154" s="60" t="n"/>
      <c r="D2154" s="60" t="n"/>
    </row>
    <row r="2155">
      <c r="C2155" s="60" t="n"/>
      <c r="D2155" s="60" t="n"/>
    </row>
    <row r="2156">
      <c r="C2156" s="60" t="n"/>
      <c r="D2156" s="60" t="n"/>
    </row>
    <row r="2157">
      <c r="C2157" s="60" t="n"/>
      <c r="D2157" s="60" t="n"/>
    </row>
    <row r="2158">
      <c r="C2158" s="60" t="n"/>
      <c r="D2158" s="60" t="n"/>
    </row>
    <row r="2159">
      <c r="C2159" s="60" t="n"/>
      <c r="D2159" s="60" t="n"/>
    </row>
    <row r="2160">
      <c r="C2160" s="60" t="n"/>
      <c r="D2160" s="60" t="n"/>
    </row>
    <row r="2161">
      <c r="C2161" s="60" t="n"/>
      <c r="D2161" s="60" t="n"/>
    </row>
    <row r="2162">
      <c r="C2162" s="60" t="n"/>
      <c r="D2162" s="60" t="n"/>
    </row>
    <row r="2163">
      <c r="C2163" s="60" t="n"/>
      <c r="D2163" s="60" t="n"/>
    </row>
    <row r="2164">
      <c r="C2164" s="60" t="n"/>
      <c r="D2164" s="60" t="n"/>
    </row>
    <row r="2165">
      <c r="C2165" s="60" t="n"/>
      <c r="D2165" s="60" t="n"/>
    </row>
    <row r="2166">
      <c r="C2166" s="60" t="n"/>
      <c r="D2166" s="60" t="n"/>
    </row>
    <row r="2167">
      <c r="C2167" s="60" t="n"/>
      <c r="D2167" s="60" t="n"/>
    </row>
    <row r="2168">
      <c r="C2168" s="60" t="n"/>
      <c r="D2168" s="60" t="n"/>
    </row>
    <row r="2169">
      <c r="C2169" s="60" t="n"/>
      <c r="D2169" s="60" t="n"/>
    </row>
    <row r="2170">
      <c r="C2170" s="60" t="n"/>
      <c r="D2170" s="60" t="n"/>
    </row>
    <row r="2171">
      <c r="C2171" s="60" t="n"/>
      <c r="D2171" s="60" t="n"/>
    </row>
    <row r="2172">
      <c r="C2172" s="60" t="n"/>
      <c r="D2172" s="60" t="n"/>
    </row>
    <row r="2173">
      <c r="C2173" s="60" t="n"/>
      <c r="D2173" s="60" t="n"/>
    </row>
    <row r="2174">
      <c r="C2174" s="60" t="n"/>
      <c r="D2174" s="60" t="n"/>
    </row>
    <row r="2175">
      <c r="C2175" s="60" t="n"/>
      <c r="D2175" s="60" t="n"/>
    </row>
    <row r="2176">
      <c r="C2176" s="60" t="n"/>
      <c r="D2176" s="60" t="n"/>
    </row>
    <row r="2177">
      <c r="C2177" s="60" t="n"/>
      <c r="D2177" s="60" t="n"/>
    </row>
    <row r="2178">
      <c r="C2178" s="60" t="n"/>
      <c r="D2178" s="60" t="n"/>
    </row>
    <row r="2179">
      <c r="C2179" s="60" t="n"/>
      <c r="D2179" s="60" t="n"/>
    </row>
    <row r="2180">
      <c r="C2180" s="60" t="n"/>
      <c r="D2180" s="60" t="n"/>
    </row>
    <row r="2181">
      <c r="C2181" s="60" t="n"/>
      <c r="D2181" s="60" t="n"/>
    </row>
    <row r="2182">
      <c r="C2182" s="60" t="n"/>
      <c r="D2182" s="60" t="n"/>
    </row>
    <row r="2183">
      <c r="C2183" s="60" t="n"/>
      <c r="D2183" s="60" t="n"/>
    </row>
    <row r="2184">
      <c r="C2184" s="60" t="n"/>
      <c r="D2184" s="60" t="n"/>
    </row>
    <row r="2185">
      <c r="C2185" s="60" t="n"/>
      <c r="D2185" s="60" t="n"/>
    </row>
    <row r="2186">
      <c r="C2186" s="60" t="n"/>
      <c r="D2186" s="60" t="n"/>
    </row>
    <row r="2187">
      <c r="C2187" s="60" t="n"/>
      <c r="D2187" s="60" t="n"/>
    </row>
    <row r="2188">
      <c r="C2188" s="60" t="n"/>
      <c r="D2188" s="60" t="n"/>
    </row>
    <row r="2189">
      <c r="C2189" s="60" t="n"/>
      <c r="D2189" s="60" t="n"/>
    </row>
    <row r="2190">
      <c r="C2190" s="60" t="n"/>
      <c r="D2190" s="60" t="n"/>
    </row>
    <row r="2191">
      <c r="C2191" s="60" t="n"/>
      <c r="D2191" s="60" t="n"/>
    </row>
    <row r="2192">
      <c r="C2192" s="60" t="n"/>
      <c r="D2192" s="60" t="n"/>
    </row>
    <row r="2193">
      <c r="C2193" s="60" t="n"/>
      <c r="D2193" s="60" t="n"/>
    </row>
    <row r="2194">
      <c r="C2194" s="60" t="n"/>
      <c r="D2194" s="60" t="n"/>
    </row>
    <row r="2195">
      <c r="C2195" s="60" t="n"/>
      <c r="D2195" s="60" t="n"/>
    </row>
    <row r="2196">
      <c r="C2196" s="60" t="n"/>
      <c r="D2196" s="60" t="n"/>
    </row>
    <row r="2197">
      <c r="C2197" s="60" t="n"/>
      <c r="D2197" s="60" t="n"/>
    </row>
    <row r="2198">
      <c r="C2198" s="60" t="n"/>
      <c r="D2198" s="60" t="n"/>
    </row>
    <row r="2199">
      <c r="C2199" s="60" t="n"/>
      <c r="D2199" s="60" t="n"/>
    </row>
    <row r="2200">
      <c r="C2200" s="60" t="n"/>
      <c r="D2200" s="60" t="n"/>
    </row>
    <row r="2201">
      <c r="C2201" s="60" t="n"/>
      <c r="D2201" s="60" t="n"/>
    </row>
    <row r="2202">
      <c r="C2202" s="60" t="n"/>
      <c r="D2202" s="60" t="n"/>
    </row>
    <row r="2203">
      <c r="C2203" s="60" t="n"/>
      <c r="D2203" s="60" t="n"/>
    </row>
    <row r="2204">
      <c r="C2204" s="60" t="n"/>
      <c r="D2204" s="60" t="n"/>
    </row>
    <row r="2205">
      <c r="C2205" s="60" t="n"/>
      <c r="D2205" s="60" t="n"/>
    </row>
    <row r="2206">
      <c r="C2206" s="60" t="n"/>
      <c r="D2206" s="60" t="n"/>
    </row>
    <row r="2207">
      <c r="C2207" s="60" t="n"/>
      <c r="D2207" s="60" t="n"/>
    </row>
    <row r="2208">
      <c r="C2208" s="60" t="n"/>
      <c r="D2208" s="60" t="n"/>
    </row>
    <row r="2209">
      <c r="C2209" s="60" t="n"/>
      <c r="D2209" s="60" t="n"/>
    </row>
    <row r="2210">
      <c r="C2210" s="60" t="n"/>
      <c r="D2210" s="60" t="n"/>
    </row>
    <row r="2211">
      <c r="C2211" s="60" t="n"/>
      <c r="D2211" s="60" t="n"/>
    </row>
    <row r="2212">
      <c r="C2212" s="60" t="n"/>
      <c r="D2212" s="60" t="n"/>
    </row>
    <row r="2213">
      <c r="C2213" s="60" t="n"/>
      <c r="D2213" s="60" t="n"/>
    </row>
    <row r="2214">
      <c r="C2214" s="60" t="n"/>
      <c r="D2214" s="60" t="n"/>
    </row>
    <row r="2215">
      <c r="C2215" s="60" t="n"/>
      <c r="D2215" s="60" t="n"/>
    </row>
    <row r="2216">
      <c r="C2216" s="60" t="n"/>
      <c r="D2216" s="60" t="n"/>
    </row>
    <row r="2217">
      <c r="C2217" s="60" t="n"/>
      <c r="D2217" s="60" t="n"/>
    </row>
    <row r="2218">
      <c r="C2218" s="60" t="n"/>
      <c r="D2218" s="60" t="n"/>
    </row>
    <row r="2219">
      <c r="C2219" s="60" t="n"/>
      <c r="D2219" s="60" t="n"/>
    </row>
    <row r="2220">
      <c r="C2220" s="60" t="n"/>
      <c r="D2220" s="60" t="n"/>
    </row>
    <row r="2221">
      <c r="C2221" s="60" t="n"/>
      <c r="D2221" s="60" t="n"/>
    </row>
    <row r="2222">
      <c r="C2222" s="60" t="n"/>
      <c r="D2222" s="60" t="n"/>
    </row>
    <row r="2223">
      <c r="C2223" s="60" t="n"/>
      <c r="D2223" s="60" t="n"/>
    </row>
    <row r="2224">
      <c r="C2224" s="60" t="n"/>
      <c r="D2224" s="60" t="n"/>
    </row>
    <row r="2225">
      <c r="C2225" s="60" t="n"/>
      <c r="D2225" s="60" t="n"/>
    </row>
    <row r="2226">
      <c r="C2226" s="60" t="n"/>
      <c r="D2226" s="60" t="n"/>
    </row>
    <row r="2227">
      <c r="C2227" s="60" t="n"/>
      <c r="D2227" s="60" t="n"/>
    </row>
    <row r="2228">
      <c r="C2228" s="60" t="n"/>
      <c r="D2228" s="60" t="n"/>
    </row>
    <row r="2229">
      <c r="C2229" s="60" t="n"/>
      <c r="D2229" s="60" t="n"/>
    </row>
    <row r="2230">
      <c r="C2230" s="60" t="n"/>
      <c r="D2230" s="60" t="n"/>
    </row>
    <row r="2231">
      <c r="C2231" s="60" t="n"/>
      <c r="D2231" s="60" t="n"/>
    </row>
    <row r="2232">
      <c r="C2232" s="60" t="n"/>
      <c r="D2232" s="60" t="n"/>
    </row>
    <row r="2233">
      <c r="C2233" s="60" t="n"/>
      <c r="D2233" s="60" t="n"/>
    </row>
    <row r="2234">
      <c r="C2234" s="60" t="n"/>
      <c r="D2234" s="60" t="n"/>
    </row>
    <row r="2235">
      <c r="C2235" s="60" t="n"/>
      <c r="D2235" s="60" t="n"/>
    </row>
    <row r="2236">
      <c r="C2236" s="60" t="n"/>
      <c r="D2236" s="60" t="n"/>
    </row>
    <row r="2237">
      <c r="C2237" s="60" t="n"/>
      <c r="D2237" s="60" t="n"/>
    </row>
    <row r="2238">
      <c r="C2238" s="60" t="n"/>
      <c r="D2238" s="60" t="n"/>
    </row>
    <row r="2239">
      <c r="C2239" s="60" t="n"/>
      <c r="D2239" s="60" t="n"/>
    </row>
    <row r="2240">
      <c r="C2240" s="60" t="n"/>
      <c r="D2240" s="60" t="n"/>
    </row>
    <row r="2241">
      <c r="C2241" s="60" t="n"/>
      <c r="D2241" s="60" t="n"/>
    </row>
    <row r="2242">
      <c r="C2242" s="60" t="n"/>
      <c r="D2242" s="60" t="n"/>
    </row>
    <row r="2243">
      <c r="C2243" s="60" t="n"/>
      <c r="D2243" s="60" t="n"/>
    </row>
    <row r="2244">
      <c r="C2244" s="60" t="n"/>
      <c r="D2244" s="60" t="n"/>
    </row>
    <row r="2245">
      <c r="C2245" s="60" t="n"/>
      <c r="D2245" s="60" t="n"/>
    </row>
    <row r="2246">
      <c r="C2246" s="60" t="n"/>
      <c r="D2246" s="60" t="n"/>
    </row>
    <row r="2247">
      <c r="C2247" s="60" t="n"/>
      <c r="D2247" s="60" t="n"/>
    </row>
    <row r="2248">
      <c r="C2248" s="60" t="n"/>
      <c r="D2248" s="60" t="n"/>
    </row>
    <row r="2249">
      <c r="C2249" s="60" t="n"/>
      <c r="D2249" s="60" t="n"/>
    </row>
    <row r="2250">
      <c r="C2250" s="60" t="n"/>
      <c r="D2250" s="60" t="n"/>
    </row>
    <row r="2251">
      <c r="C2251" s="60" t="n"/>
      <c r="D2251" s="60" t="n"/>
    </row>
    <row r="2252">
      <c r="C2252" s="60" t="n"/>
      <c r="D2252" s="60" t="n"/>
    </row>
    <row r="2253">
      <c r="C2253" s="60" t="n"/>
      <c r="D2253" s="60" t="n"/>
    </row>
    <row r="2254">
      <c r="C2254" s="60" t="n"/>
      <c r="D2254" s="60" t="n"/>
    </row>
    <row r="2255">
      <c r="C2255" s="60" t="n"/>
      <c r="D2255" s="60" t="n"/>
    </row>
    <row r="2256">
      <c r="C2256" s="60" t="n"/>
      <c r="D2256" s="60" t="n"/>
    </row>
    <row r="2257">
      <c r="C2257" s="60" t="n"/>
      <c r="D2257" s="60" t="n"/>
    </row>
    <row r="2258">
      <c r="C2258" s="60" t="n"/>
      <c r="D2258" s="60" t="n"/>
    </row>
    <row r="2259">
      <c r="C2259" s="60" t="n"/>
      <c r="D2259" s="60" t="n"/>
    </row>
    <row r="2260">
      <c r="C2260" s="60" t="n"/>
      <c r="D2260" s="60" t="n"/>
    </row>
    <row r="2261">
      <c r="C2261" s="60" t="n"/>
      <c r="D2261" s="60" t="n"/>
    </row>
    <row r="2262">
      <c r="C2262" s="60" t="n"/>
      <c r="D2262" s="60" t="n"/>
    </row>
    <row r="2263">
      <c r="C2263" s="60" t="n"/>
      <c r="D2263" s="60" t="n"/>
    </row>
    <row r="2264">
      <c r="C2264" s="60" t="n"/>
      <c r="D2264" s="60" t="n"/>
    </row>
    <row r="2265">
      <c r="C2265" s="60" t="n"/>
      <c r="D2265" s="60" t="n"/>
    </row>
    <row r="2266">
      <c r="C2266" s="60" t="n"/>
      <c r="D2266" s="60" t="n"/>
    </row>
    <row r="2267">
      <c r="C2267" s="60" t="n"/>
      <c r="D2267" s="60" t="n"/>
    </row>
    <row r="2268">
      <c r="C2268" s="60" t="n"/>
      <c r="D2268" s="60" t="n"/>
    </row>
    <row r="2269">
      <c r="C2269" s="60" t="n"/>
      <c r="D2269" s="60" t="n"/>
    </row>
    <row r="2270">
      <c r="C2270" s="60" t="n"/>
      <c r="D2270" s="60" t="n"/>
    </row>
    <row r="2271">
      <c r="C2271" s="60" t="n"/>
      <c r="D2271" s="60" t="n"/>
    </row>
    <row r="2272">
      <c r="C2272" s="60" t="n"/>
      <c r="D2272" s="60" t="n"/>
    </row>
    <row r="2273">
      <c r="C2273" s="60" t="n"/>
      <c r="D2273" s="60" t="n"/>
    </row>
    <row r="2274">
      <c r="C2274" s="60" t="n"/>
      <c r="D2274" s="60" t="n"/>
    </row>
    <row r="2275">
      <c r="C2275" s="60" t="n"/>
      <c r="D2275" s="60" t="n"/>
    </row>
    <row r="2276">
      <c r="C2276" s="60" t="n"/>
      <c r="D2276" s="60" t="n"/>
    </row>
    <row r="2277">
      <c r="C2277" s="60" t="n"/>
      <c r="D2277" s="60" t="n"/>
    </row>
    <row r="2278">
      <c r="C2278" s="60" t="n"/>
      <c r="D2278" s="60" t="n"/>
    </row>
    <row r="2279">
      <c r="C2279" s="60" t="n"/>
      <c r="D2279" s="60" t="n"/>
    </row>
    <row r="2280">
      <c r="C2280" s="60" t="n"/>
      <c r="D2280" s="60" t="n"/>
    </row>
    <row r="2281">
      <c r="C2281" s="60" t="n"/>
      <c r="D2281" s="60" t="n"/>
    </row>
    <row r="2282">
      <c r="C2282" s="60" t="n"/>
      <c r="D2282" s="60" t="n"/>
    </row>
    <row r="2283">
      <c r="C2283" s="60" t="n"/>
      <c r="D2283" s="60" t="n"/>
    </row>
    <row r="2284">
      <c r="C2284" s="60" t="n"/>
      <c r="D2284" s="60" t="n"/>
    </row>
    <row r="2285">
      <c r="C2285" s="60" t="n"/>
      <c r="D2285" s="60" t="n"/>
    </row>
    <row r="2286">
      <c r="C2286" s="60" t="n"/>
      <c r="D2286" s="60" t="n"/>
    </row>
    <row r="2287">
      <c r="C2287" s="60" t="n"/>
      <c r="D2287" s="60" t="n"/>
    </row>
    <row r="2288">
      <c r="C2288" s="60" t="n"/>
      <c r="D2288" s="60" t="n"/>
    </row>
    <row r="2289">
      <c r="C2289" s="60" t="n"/>
      <c r="D2289" s="60" t="n"/>
    </row>
    <row r="2290">
      <c r="C2290" s="60" t="n"/>
      <c r="D2290" s="60" t="n"/>
    </row>
    <row r="2291">
      <c r="C2291" s="60" t="n"/>
      <c r="D2291" s="60" t="n"/>
    </row>
    <row r="2292">
      <c r="C2292" s="60" t="n"/>
      <c r="D2292" s="60" t="n"/>
    </row>
    <row r="2293">
      <c r="C2293" s="60" t="n"/>
      <c r="D2293" s="60" t="n"/>
    </row>
    <row r="2294">
      <c r="C2294" s="60" t="n"/>
      <c r="D2294" s="60" t="n"/>
    </row>
    <row r="2295">
      <c r="C2295" s="60" t="n"/>
      <c r="D2295" s="60" t="n"/>
    </row>
    <row r="2296">
      <c r="C2296" s="60" t="n"/>
      <c r="D2296" s="60" t="n"/>
    </row>
    <row r="2297">
      <c r="C2297" s="60" t="n"/>
      <c r="D2297" s="60" t="n"/>
    </row>
    <row r="2298">
      <c r="C2298" s="60" t="n"/>
      <c r="D2298" s="60" t="n"/>
    </row>
    <row r="2299">
      <c r="C2299" s="60" t="n"/>
      <c r="D2299" s="60" t="n"/>
    </row>
    <row r="2300">
      <c r="C2300" s="60" t="n"/>
      <c r="D2300" s="60" t="n"/>
    </row>
    <row r="2301">
      <c r="C2301" s="60" t="n"/>
      <c r="D2301" s="60" t="n"/>
    </row>
    <row r="2302">
      <c r="C2302" s="60" t="n"/>
      <c r="D2302" s="60" t="n"/>
    </row>
    <row r="2303">
      <c r="C2303" s="60" t="n"/>
      <c r="D2303" s="60" t="n"/>
    </row>
    <row r="2304">
      <c r="C2304" s="60" t="n"/>
      <c r="D2304" s="60" t="n"/>
    </row>
    <row r="2305">
      <c r="C2305" s="60" t="n"/>
      <c r="D2305" s="60" t="n"/>
    </row>
    <row r="2306">
      <c r="C2306" s="60" t="n"/>
      <c r="D2306" s="60" t="n"/>
    </row>
    <row r="2307">
      <c r="C2307" s="60" t="n"/>
      <c r="D2307" s="60" t="n"/>
    </row>
    <row r="2308">
      <c r="C2308" s="60" t="n"/>
      <c r="D2308" s="60" t="n"/>
    </row>
    <row r="2309">
      <c r="C2309" s="60" t="n"/>
      <c r="D2309" s="60" t="n"/>
    </row>
    <row r="2310">
      <c r="C2310" s="60" t="n"/>
      <c r="D2310" s="60" t="n"/>
    </row>
    <row r="2311">
      <c r="C2311" s="60" t="n"/>
      <c r="D2311" s="60" t="n"/>
    </row>
    <row r="2312">
      <c r="C2312" s="60" t="n"/>
      <c r="D2312" s="60" t="n"/>
    </row>
    <row r="2313">
      <c r="C2313" s="60" t="n"/>
      <c r="D2313" s="60" t="n"/>
    </row>
    <row r="2314">
      <c r="C2314" s="60" t="n"/>
      <c r="D2314" s="60" t="n"/>
    </row>
    <row r="2315">
      <c r="C2315" s="60" t="n"/>
      <c r="D2315" s="60" t="n"/>
    </row>
    <row r="2316">
      <c r="C2316" s="60" t="n"/>
      <c r="D2316" s="60" t="n"/>
    </row>
    <row r="2317">
      <c r="C2317" s="60" t="n"/>
      <c r="D2317" s="60" t="n"/>
    </row>
    <row r="2318">
      <c r="C2318" s="60" t="n"/>
      <c r="D2318" s="60" t="n"/>
    </row>
    <row r="2319">
      <c r="C2319" s="60" t="n"/>
      <c r="D2319" s="60" t="n"/>
    </row>
    <row r="2320">
      <c r="C2320" s="60" t="n"/>
      <c r="D2320" s="60" t="n"/>
    </row>
    <row r="2321">
      <c r="C2321" s="60" t="n"/>
      <c r="D2321" s="60" t="n"/>
    </row>
    <row r="2322">
      <c r="C2322" s="60" t="n"/>
      <c r="D2322" s="60" t="n"/>
    </row>
    <row r="2323">
      <c r="C2323" s="60" t="n"/>
      <c r="D2323" s="60" t="n"/>
    </row>
    <row r="2324">
      <c r="C2324" s="60" t="n"/>
      <c r="D2324" s="60" t="n"/>
    </row>
    <row r="2325">
      <c r="C2325" s="60" t="n"/>
      <c r="D2325" s="60" t="n"/>
    </row>
    <row r="2326">
      <c r="C2326" s="60" t="n"/>
      <c r="D2326" s="60" t="n"/>
    </row>
    <row r="2327">
      <c r="C2327" s="60" t="n"/>
      <c r="D2327" s="60" t="n"/>
    </row>
    <row r="2328">
      <c r="C2328" s="60" t="n"/>
      <c r="D2328" s="60" t="n"/>
    </row>
    <row r="2329">
      <c r="C2329" s="60" t="n"/>
      <c r="D2329" s="60" t="n"/>
    </row>
    <row r="2330">
      <c r="C2330" s="60" t="n"/>
      <c r="D2330" s="60" t="n"/>
    </row>
    <row r="2331">
      <c r="C2331" s="60" t="n"/>
      <c r="D2331" s="60" t="n"/>
    </row>
    <row r="2332">
      <c r="C2332" s="60" t="n"/>
      <c r="D2332" s="60" t="n"/>
    </row>
    <row r="2333">
      <c r="C2333" s="60" t="n"/>
      <c r="D2333" s="60" t="n"/>
    </row>
    <row r="2334">
      <c r="C2334" s="60" t="n"/>
      <c r="D2334" s="60" t="n"/>
    </row>
    <row r="2335">
      <c r="C2335" s="60" t="n"/>
      <c r="D2335" s="60" t="n"/>
    </row>
    <row r="2336">
      <c r="C2336" s="60" t="n"/>
      <c r="D2336" s="60" t="n"/>
    </row>
    <row r="2337">
      <c r="C2337" s="60" t="n"/>
      <c r="D2337" s="60" t="n"/>
    </row>
    <row r="2338">
      <c r="C2338" s="60" t="n"/>
      <c r="D2338" s="60" t="n"/>
    </row>
    <row r="2339">
      <c r="C2339" s="60" t="n"/>
      <c r="D2339" s="60" t="n"/>
    </row>
    <row r="2340">
      <c r="C2340" s="60" t="n"/>
      <c r="D2340" s="60" t="n"/>
    </row>
    <row r="2341">
      <c r="C2341" s="60" t="n"/>
      <c r="D2341" s="60" t="n"/>
    </row>
    <row r="2342">
      <c r="C2342" s="60" t="n"/>
      <c r="D2342" s="60" t="n"/>
    </row>
    <row r="2343">
      <c r="C2343" s="60" t="n"/>
      <c r="D2343" s="60" t="n"/>
    </row>
    <row r="2344">
      <c r="C2344" s="60" t="n"/>
      <c r="D2344" s="60" t="n"/>
    </row>
    <row r="2345">
      <c r="C2345" s="60" t="n"/>
      <c r="D2345" s="60" t="n"/>
    </row>
    <row r="2346">
      <c r="C2346" s="60" t="n"/>
      <c r="D2346" s="60" t="n"/>
    </row>
    <row r="2347">
      <c r="C2347" s="60" t="n"/>
      <c r="D2347" s="60" t="n"/>
    </row>
    <row r="2348">
      <c r="C2348" s="60" t="n"/>
      <c r="D2348" s="60" t="n"/>
    </row>
    <row r="2349">
      <c r="C2349" s="60" t="n"/>
      <c r="D2349" s="60" t="n"/>
    </row>
    <row r="2350">
      <c r="C2350" s="60" t="n"/>
      <c r="D2350" s="60" t="n"/>
    </row>
    <row r="2351">
      <c r="C2351" s="60" t="n"/>
      <c r="D2351" s="60" t="n"/>
    </row>
    <row r="2352">
      <c r="C2352" s="60" t="n"/>
      <c r="D2352" s="60" t="n"/>
    </row>
    <row r="2353">
      <c r="C2353" s="60" t="n"/>
      <c r="D2353" s="60" t="n"/>
    </row>
    <row r="2354">
      <c r="C2354" s="60" t="n"/>
      <c r="D2354" s="60" t="n"/>
    </row>
    <row r="2355">
      <c r="C2355" s="60" t="n"/>
      <c r="D2355" s="60" t="n"/>
    </row>
    <row r="2356">
      <c r="C2356" s="60" t="n"/>
      <c r="D2356" s="60" t="n"/>
    </row>
    <row r="2357">
      <c r="C2357" s="60" t="n"/>
      <c r="D2357" s="60" t="n"/>
    </row>
    <row r="2358">
      <c r="C2358" s="60" t="n"/>
      <c r="D2358" s="60" t="n"/>
    </row>
    <row r="2359">
      <c r="C2359" s="60" t="n"/>
      <c r="D2359" s="60" t="n"/>
    </row>
    <row r="2360">
      <c r="C2360" s="60" t="n"/>
      <c r="D2360" s="60" t="n"/>
    </row>
    <row r="2361">
      <c r="C2361" s="60" t="n"/>
      <c r="D2361" s="60" t="n"/>
    </row>
    <row r="2362">
      <c r="C2362" s="60" t="n"/>
      <c r="D2362" s="60" t="n"/>
    </row>
    <row r="2363">
      <c r="C2363" s="60" t="n"/>
      <c r="D2363" s="60" t="n"/>
    </row>
    <row r="2364">
      <c r="C2364" s="60" t="n"/>
      <c r="D2364" s="60" t="n"/>
    </row>
    <row r="2365">
      <c r="C2365" s="60" t="n"/>
      <c r="D2365" s="60" t="n"/>
    </row>
    <row r="2366">
      <c r="C2366" s="60" t="n"/>
      <c r="D2366" s="60" t="n"/>
    </row>
    <row r="2367">
      <c r="C2367" s="60" t="n"/>
      <c r="D2367" s="60" t="n"/>
    </row>
    <row r="2368">
      <c r="C2368" s="60" t="n"/>
      <c r="D2368" s="60" t="n"/>
    </row>
    <row r="2369">
      <c r="C2369" s="60" t="n"/>
      <c r="D2369" s="60" t="n"/>
    </row>
    <row r="2370">
      <c r="C2370" s="60" t="n"/>
      <c r="D2370" s="60" t="n"/>
    </row>
    <row r="2371">
      <c r="C2371" s="60" t="n"/>
      <c r="D2371" s="60" t="n"/>
    </row>
    <row r="2372">
      <c r="C2372" s="60" t="n"/>
      <c r="D2372" s="60" t="n"/>
    </row>
    <row r="2373">
      <c r="C2373" s="60" t="n"/>
      <c r="D2373" s="60" t="n"/>
    </row>
    <row r="2374">
      <c r="C2374" s="60" t="n"/>
      <c r="D2374" s="60" t="n"/>
    </row>
    <row r="2375">
      <c r="C2375" s="60" t="n"/>
      <c r="D2375" s="60" t="n"/>
    </row>
    <row r="2376">
      <c r="C2376" s="60" t="n"/>
      <c r="D2376" s="60" t="n"/>
    </row>
    <row r="2377">
      <c r="C2377" s="60" t="n"/>
      <c r="D2377" s="60" t="n"/>
    </row>
    <row r="2378">
      <c r="C2378" s="60" t="n"/>
      <c r="D2378" s="60" t="n"/>
    </row>
    <row r="2379">
      <c r="C2379" s="60" t="n"/>
      <c r="D2379" s="60" t="n"/>
    </row>
    <row r="2380">
      <c r="C2380" s="60" t="n"/>
      <c r="D2380" s="60" t="n"/>
    </row>
    <row r="2381">
      <c r="C2381" s="60" t="n"/>
      <c r="D2381" s="60" t="n"/>
    </row>
    <row r="2382">
      <c r="C2382" s="60" t="n"/>
      <c r="D2382" s="60" t="n"/>
    </row>
    <row r="2383">
      <c r="C2383" s="60" t="n"/>
      <c r="D2383" s="60" t="n"/>
    </row>
    <row r="2384">
      <c r="C2384" s="60" t="n"/>
      <c r="D2384" s="60" t="n"/>
    </row>
    <row r="2385">
      <c r="C2385" s="60" t="n"/>
      <c r="D2385" s="60" t="n"/>
    </row>
    <row r="2386">
      <c r="C2386" s="60" t="n"/>
      <c r="D2386" s="60" t="n"/>
    </row>
    <row r="2387">
      <c r="C2387" s="60" t="n"/>
      <c r="D2387" s="60" t="n"/>
    </row>
    <row r="2388">
      <c r="C2388" s="60" t="n"/>
      <c r="D2388" s="60" t="n"/>
    </row>
    <row r="2389">
      <c r="C2389" s="60" t="n"/>
      <c r="D2389" s="60" t="n"/>
    </row>
    <row r="2390">
      <c r="C2390" s="60" t="n"/>
      <c r="D2390" s="60" t="n"/>
    </row>
    <row r="2391">
      <c r="C2391" s="60" t="n"/>
      <c r="D2391" s="60" t="n"/>
    </row>
    <row r="2392">
      <c r="C2392" s="60" t="n"/>
      <c r="D2392" s="60" t="n"/>
    </row>
    <row r="2393">
      <c r="C2393" s="60" t="n"/>
      <c r="D2393" s="60" t="n"/>
    </row>
    <row r="2394">
      <c r="C2394" s="60" t="n"/>
      <c r="D2394" s="60" t="n"/>
    </row>
    <row r="2395">
      <c r="C2395" s="60" t="n"/>
      <c r="D2395" s="60" t="n"/>
    </row>
    <row r="2396">
      <c r="C2396" s="60" t="n"/>
      <c r="D2396" s="60" t="n"/>
    </row>
    <row r="2397">
      <c r="C2397" s="60" t="n"/>
      <c r="D2397" s="60" t="n"/>
    </row>
    <row r="2398">
      <c r="C2398" s="60" t="n"/>
      <c r="D2398" s="60" t="n"/>
    </row>
    <row r="2399">
      <c r="C2399" s="60" t="n"/>
      <c r="D2399" s="60" t="n"/>
    </row>
    <row r="2400">
      <c r="C2400" s="60" t="n"/>
      <c r="D2400" s="60" t="n"/>
    </row>
    <row r="2401">
      <c r="C2401" s="60" t="n"/>
      <c r="D2401" s="60" t="n"/>
    </row>
    <row r="2402">
      <c r="C2402" s="60" t="n"/>
      <c r="D2402" s="60" t="n"/>
    </row>
    <row r="2403">
      <c r="C2403" s="60" t="n"/>
      <c r="D2403" s="60" t="n"/>
    </row>
    <row r="2404">
      <c r="C2404" s="60" t="n"/>
      <c r="D2404" s="60" t="n"/>
    </row>
    <row r="2405">
      <c r="C2405" s="60" t="n"/>
      <c r="D2405" s="60" t="n"/>
    </row>
    <row r="2406">
      <c r="C2406" s="60" t="n"/>
      <c r="D2406" s="60" t="n"/>
    </row>
    <row r="2407">
      <c r="C2407" s="60" t="n"/>
      <c r="D2407" s="60" t="n"/>
    </row>
    <row r="2408">
      <c r="C2408" s="60" t="n"/>
      <c r="D2408" s="60" t="n"/>
    </row>
    <row r="2409">
      <c r="C2409" s="60" t="n"/>
      <c r="D2409" s="60" t="n"/>
    </row>
    <row r="2410">
      <c r="C2410" s="60" t="n"/>
      <c r="D2410" s="60" t="n"/>
    </row>
    <row r="2411">
      <c r="C2411" s="60" t="n"/>
      <c r="D2411" s="60" t="n"/>
    </row>
    <row r="2412">
      <c r="C2412" s="60" t="n"/>
      <c r="D2412" s="60" t="n"/>
    </row>
    <row r="2413">
      <c r="C2413" s="60" t="n"/>
      <c r="D2413" s="60" t="n"/>
    </row>
    <row r="2414">
      <c r="C2414" s="60" t="n"/>
      <c r="D2414" s="60" t="n"/>
    </row>
    <row r="2415">
      <c r="C2415" s="60" t="n"/>
      <c r="D2415" s="60" t="n"/>
    </row>
    <row r="2416">
      <c r="C2416" s="60" t="n"/>
      <c r="D2416" s="60" t="n"/>
    </row>
    <row r="2417">
      <c r="C2417" s="60" t="n"/>
      <c r="D2417" s="60" t="n"/>
    </row>
    <row r="2418">
      <c r="C2418" s="60" t="n"/>
      <c r="D2418" s="60" t="n"/>
    </row>
    <row r="2419">
      <c r="C2419" s="60" t="n"/>
      <c r="D2419" s="60" t="n"/>
    </row>
    <row r="2420">
      <c r="C2420" s="60" t="n"/>
      <c r="D2420" s="60" t="n"/>
    </row>
    <row r="2421">
      <c r="C2421" s="60" t="n"/>
      <c r="D2421" s="60" t="n"/>
    </row>
    <row r="2422">
      <c r="C2422" s="60" t="n"/>
      <c r="D2422" s="60" t="n"/>
    </row>
    <row r="2423">
      <c r="C2423" s="60" t="n"/>
      <c r="D2423" s="60" t="n"/>
    </row>
    <row r="2424">
      <c r="C2424" s="60" t="n"/>
      <c r="D2424" s="60" t="n"/>
    </row>
    <row r="2425">
      <c r="C2425" s="60" t="n"/>
      <c r="D2425" s="60" t="n"/>
    </row>
    <row r="2426">
      <c r="C2426" s="60" t="n"/>
      <c r="D2426" s="60" t="n"/>
    </row>
    <row r="2427">
      <c r="C2427" s="60" t="n"/>
      <c r="D2427" s="60" t="n"/>
    </row>
    <row r="2428">
      <c r="C2428" s="60" t="n"/>
      <c r="D2428" s="60" t="n"/>
    </row>
    <row r="2429">
      <c r="C2429" s="60" t="n"/>
      <c r="D2429" s="60" t="n"/>
    </row>
    <row r="2430">
      <c r="C2430" s="60" t="n"/>
      <c r="D2430" s="60" t="n"/>
    </row>
    <row r="2431">
      <c r="C2431" s="60" t="n"/>
      <c r="D2431" s="60" t="n"/>
    </row>
    <row r="2432">
      <c r="C2432" s="60" t="n"/>
      <c r="D2432" s="60" t="n"/>
    </row>
    <row r="2433">
      <c r="C2433" s="60" t="n"/>
      <c r="D2433" s="60" t="n"/>
    </row>
    <row r="2434">
      <c r="C2434" s="60" t="n"/>
      <c r="D2434" s="60" t="n"/>
    </row>
    <row r="2435">
      <c r="C2435" s="60" t="n"/>
      <c r="D2435" s="60" t="n"/>
    </row>
    <row r="2436">
      <c r="C2436" s="60" t="n"/>
      <c r="D2436" s="60" t="n"/>
    </row>
    <row r="2437">
      <c r="C2437" s="60" t="n"/>
      <c r="D2437" s="60" t="n"/>
    </row>
    <row r="2438">
      <c r="C2438" s="60" t="n"/>
      <c r="D2438" s="60" t="n"/>
    </row>
    <row r="2439">
      <c r="C2439" s="60" t="n"/>
      <c r="D2439" s="60" t="n"/>
    </row>
    <row r="2440">
      <c r="C2440" s="60" t="n"/>
      <c r="D2440" s="60" t="n"/>
    </row>
    <row r="2441">
      <c r="C2441" s="60" t="n"/>
      <c r="D2441" s="60" t="n"/>
    </row>
    <row r="2442">
      <c r="C2442" s="60" t="n"/>
      <c r="D2442" s="60" t="n"/>
    </row>
    <row r="2443">
      <c r="C2443" s="60" t="n"/>
      <c r="D2443" s="60" t="n"/>
    </row>
    <row r="2444">
      <c r="C2444" s="60" t="n"/>
      <c r="D2444" s="60" t="n"/>
    </row>
    <row r="2445">
      <c r="C2445" s="60" t="n"/>
      <c r="D2445" s="60" t="n"/>
    </row>
    <row r="2446">
      <c r="C2446" s="60" t="n"/>
      <c r="D2446" s="60" t="n"/>
    </row>
    <row r="2447">
      <c r="C2447" s="60" t="n"/>
      <c r="D2447" s="60" t="n"/>
    </row>
    <row r="2448">
      <c r="C2448" s="60" t="n"/>
      <c r="D2448" s="60" t="n"/>
    </row>
    <row r="2449">
      <c r="C2449" s="60" t="n"/>
      <c r="D2449" s="60" t="n"/>
    </row>
    <row r="2450">
      <c r="C2450" s="60" t="n"/>
      <c r="D2450" s="60" t="n"/>
    </row>
    <row r="2451">
      <c r="C2451" s="60" t="n"/>
      <c r="D2451" s="60" t="n"/>
    </row>
    <row r="2452">
      <c r="C2452" s="60" t="n"/>
      <c r="D2452" s="60" t="n"/>
    </row>
    <row r="2453">
      <c r="C2453" s="60" t="n"/>
      <c r="D2453" s="60" t="n"/>
    </row>
    <row r="2454">
      <c r="C2454" s="60" t="n"/>
      <c r="D2454" s="60" t="n"/>
    </row>
    <row r="2455">
      <c r="C2455" s="60" t="n"/>
      <c r="D2455" s="60" t="n"/>
    </row>
    <row r="2456">
      <c r="C2456" s="60" t="n"/>
      <c r="D2456" s="60" t="n"/>
    </row>
    <row r="2457">
      <c r="C2457" s="60" t="n"/>
      <c r="D2457" s="60" t="n"/>
    </row>
    <row r="2458">
      <c r="C2458" s="60" t="n"/>
      <c r="D2458" s="60" t="n"/>
    </row>
    <row r="2459">
      <c r="C2459" s="60" t="n"/>
      <c r="D2459" s="60" t="n"/>
    </row>
    <row r="2460">
      <c r="C2460" s="60" t="n"/>
      <c r="D2460" s="60" t="n"/>
    </row>
    <row r="2461">
      <c r="C2461" s="60" t="n"/>
      <c r="D2461" s="60" t="n"/>
    </row>
    <row r="2462">
      <c r="C2462" s="60" t="n"/>
      <c r="D2462" s="60" t="n"/>
    </row>
    <row r="2463">
      <c r="C2463" s="60" t="n"/>
      <c r="D2463" s="60" t="n"/>
    </row>
    <row r="2464">
      <c r="C2464" s="60" t="n"/>
      <c r="D2464" s="60" t="n"/>
    </row>
    <row r="2465">
      <c r="C2465" s="60" t="n"/>
      <c r="D2465" s="60" t="n"/>
    </row>
    <row r="2466">
      <c r="C2466" s="60" t="n"/>
      <c r="D2466" s="60" t="n"/>
    </row>
    <row r="2467">
      <c r="C2467" s="60" t="n"/>
      <c r="D2467" s="60" t="n"/>
    </row>
    <row r="2468">
      <c r="C2468" s="60" t="n"/>
      <c r="D2468" s="60" t="n"/>
    </row>
    <row r="2469">
      <c r="C2469" s="60" t="n"/>
      <c r="D2469" s="60" t="n"/>
    </row>
    <row r="2470">
      <c r="C2470" s="60" t="n"/>
      <c r="D2470" s="60" t="n"/>
    </row>
    <row r="2471">
      <c r="C2471" s="60" t="n"/>
      <c r="D2471" s="60" t="n"/>
    </row>
    <row r="2472">
      <c r="C2472" s="60" t="n"/>
      <c r="D2472" s="60" t="n"/>
    </row>
    <row r="2473">
      <c r="C2473" s="60" t="n"/>
      <c r="D2473" s="60" t="n"/>
    </row>
    <row r="2474">
      <c r="C2474" s="60" t="n"/>
      <c r="D2474" s="60" t="n"/>
    </row>
    <row r="2475">
      <c r="C2475" s="60" t="n"/>
      <c r="D2475" s="60" t="n"/>
    </row>
    <row r="2476">
      <c r="C2476" s="60" t="n"/>
      <c r="D2476" s="60" t="n"/>
    </row>
    <row r="2477">
      <c r="C2477" s="60" t="n"/>
      <c r="D2477" s="60" t="n"/>
    </row>
    <row r="2478">
      <c r="C2478" s="60" t="n"/>
      <c r="D2478" s="60" t="n"/>
    </row>
    <row r="2479">
      <c r="C2479" s="60" t="n"/>
      <c r="D2479" s="60" t="n"/>
    </row>
    <row r="2480">
      <c r="C2480" s="60" t="n"/>
      <c r="D2480" s="60" t="n"/>
    </row>
    <row r="2481">
      <c r="C2481" s="60" t="n"/>
      <c r="D2481" s="60" t="n"/>
    </row>
    <row r="2482">
      <c r="C2482" s="60" t="n"/>
      <c r="D2482" s="60" t="n"/>
    </row>
    <row r="2483">
      <c r="C2483" s="60" t="n"/>
      <c r="D2483" s="60" t="n"/>
    </row>
    <row r="2484">
      <c r="C2484" s="60" t="n"/>
      <c r="D2484" s="60" t="n"/>
    </row>
    <row r="2485">
      <c r="C2485" s="60" t="n"/>
      <c r="D2485" s="60" t="n"/>
    </row>
    <row r="2486">
      <c r="C2486" s="60" t="n"/>
      <c r="D2486" s="60" t="n"/>
    </row>
    <row r="2487">
      <c r="C2487" s="60" t="n"/>
      <c r="D2487" s="60" t="n"/>
    </row>
    <row r="2488">
      <c r="C2488" s="60" t="n"/>
      <c r="D2488" s="60" t="n"/>
    </row>
    <row r="2489">
      <c r="C2489" s="60" t="n"/>
      <c r="D2489" s="60" t="n"/>
    </row>
    <row r="2490">
      <c r="C2490" s="60" t="n"/>
      <c r="D2490" s="60" t="n"/>
    </row>
    <row r="2491">
      <c r="C2491" s="60" t="n"/>
      <c r="D2491" s="60" t="n"/>
    </row>
    <row r="2492">
      <c r="C2492" s="60" t="n"/>
      <c r="D2492" s="60" t="n"/>
    </row>
    <row r="2493">
      <c r="C2493" s="60" t="n"/>
      <c r="D2493" s="60" t="n"/>
    </row>
    <row r="2494">
      <c r="C2494" s="60" t="n"/>
      <c r="D2494" s="60" t="n"/>
    </row>
    <row r="2495">
      <c r="C2495" s="60" t="n"/>
      <c r="D2495" s="60" t="n"/>
    </row>
    <row r="2496">
      <c r="C2496" s="60" t="n"/>
      <c r="D2496" s="60" t="n"/>
    </row>
    <row r="2497">
      <c r="C2497" s="60" t="n"/>
      <c r="D2497" s="60" t="n"/>
    </row>
    <row r="2498">
      <c r="C2498" s="60" t="n"/>
      <c r="D2498" s="60" t="n"/>
    </row>
    <row r="2499">
      <c r="C2499" s="60" t="n"/>
      <c r="D2499" s="60" t="n"/>
    </row>
    <row r="2500">
      <c r="C2500" s="60" t="n"/>
      <c r="D2500" s="60" t="n"/>
    </row>
    <row r="2501">
      <c r="C2501" s="60" t="n"/>
      <c r="D2501" s="60" t="n"/>
    </row>
    <row r="2502">
      <c r="C2502" s="60" t="n"/>
      <c r="D2502" s="60" t="n"/>
    </row>
    <row r="2503">
      <c r="C2503" s="60" t="n"/>
      <c r="D2503" s="60" t="n"/>
    </row>
    <row r="2504">
      <c r="C2504" s="60" t="n"/>
      <c r="D2504" s="60" t="n"/>
    </row>
    <row r="2505">
      <c r="C2505" s="60" t="n"/>
      <c r="D2505" s="60" t="n"/>
    </row>
    <row r="2506">
      <c r="C2506" s="60" t="n"/>
      <c r="D2506" s="60" t="n"/>
    </row>
    <row r="2507">
      <c r="C2507" s="60" t="n"/>
      <c r="D2507" s="60" t="n"/>
    </row>
    <row r="2508">
      <c r="C2508" s="60" t="n"/>
      <c r="D2508" s="60" t="n"/>
    </row>
    <row r="2509">
      <c r="C2509" s="60" t="n"/>
      <c r="D2509" s="60" t="n"/>
    </row>
    <row r="2510">
      <c r="C2510" s="60" t="n"/>
      <c r="D2510" s="60" t="n"/>
    </row>
    <row r="2511">
      <c r="C2511" s="60" t="n"/>
      <c r="D2511" s="60" t="n"/>
    </row>
    <row r="2512">
      <c r="C2512" s="60" t="n"/>
      <c r="D2512" s="60" t="n"/>
    </row>
    <row r="2513">
      <c r="C2513" s="60" t="n"/>
      <c r="D2513" s="60" t="n"/>
    </row>
    <row r="2514">
      <c r="C2514" s="60" t="n"/>
      <c r="D2514" s="60" t="n"/>
    </row>
    <row r="2515">
      <c r="C2515" s="60" t="n"/>
      <c r="D2515" s="60" t="n"/>
    </row>
    <row r="2516">
      <c r="C2516" s="60" t="n"/>
      <c r="D2516" s="60" t="n"/>
    </row>
    <row r="2517">
      <c r="C2517" s="60" t="n"/>
      <c r="D2517" s="60" t="n"/>
    </row>
    <row r="2518">
      <c r="C2518" s="60" t="n"/>
      <c r="D2518" s="60" t="n"/>
    </row>
    <row r="2519">
      <c r="C2519" s="60" t="n"/>
      <c r="D2519" s="60" t="n"/>
    </row>
    <row r="2520">
      <c r="C2520" s="60" t="n"/>
      <c r="D2520" s="60" t="n"/>
    </row>
    <row r="2521">
      <c r="C2521" s="60" t="n"/>
      <c r="D2521" s="60" t="n"/>
    </row>
    <row r="2522">
      <c r="C2522" s="60" t="n"/>
      <c r="D2522" s="60" t="n"/>
    </row>
    <row r="2523">
      <c r="C2523" s="60" t="n"/>
      <c r="D2523" s="60" t="n"/>
    </row>
    <row r="2524">
      <c r="C2524" s="60" t="n"/>
      <c r="D2524" s="60" t="n"/>
    </row>
    <row r="2525">
      <c r="C2525" s="60" t="n"/>
      <c r="D2525" s="60" t="n"/>
    </row>
    <row r="2526">
      <c r="C2526" s="60" t="n"/>
      <c r="D2526" s="60" t="n"/>
    </row>
    <row r="2527">
      <c r="C2527" s="60" t="n"/>
      <c r="D2527" s="60" t="n"/>
    </row>
    <row r="2528">
      <c r="C2528" s="60" t="n"/>
      <c r="D2528" s="60" t="n"/>
    </row>
    <row r="2529">
      <c r="C2529" s="60" t="n"/>
      <c r="D2529" s="60" t="n"/>
    </row>
    <row r="2530">
      <c r="C2530" s="60" t="n"/>
      <c r="D2530" s="60" t="n"/>
    </row>
    <row r="2531">
      <c r="C2531" s="60" t="n"/>
      <c r="D2531" s="60" t="n"/>
    </row>
    <row r="2532">
      <c r="C2532" s="60" t="n"/>
      <c r="D2532" s="60" t="n"/>
    </row>
    <row r="2533">
      <c r="C2533" s="60" t="n"/>
      <c r="D2533" s="60" t="n"/>
    </row>
    <row r="2534">
      <c r="C2534" s="60" t="n"/>
      <c r="D2534" s="60" t="n"/>
    </row>
    <row r="2535">
      <c r="C2535" s="60" t="n"/>
      <c r="D2535" s="60" t="n"/>
    </row>
    <row r="2536">
      <c r="C2536" s="60" t="n"/>
      <c r="D2536" s="60" t="n"/>
    </row>
    <row r="2537">
      <c r="C2537" s="60" t="n"/>
      <c r="D2537" s="60" t="n"/>
    </row>
    <row r="2538">
      <c r="C2538" s="60" t="n"/>
      <c r="D2538" s="60" t="n"/>
    </row>
    <row r="2539">
      <c r="C2539" s="60" t="n"/>
      <c r="D2539" s="60" t="n"/>
    </row>
    <row r="2540">
      <c r="C2540" s="60" t="n"/>
      <c r="D2540" s="60" t="n"/>
    </row>
    <row r="2541">
      <c r="C2541" s="60" t="n"/>
      <c r="D2541" s="60" t="n"/>
    </row>
    <row r="2542">
      <c r="C2542" s="60" t="n"/>
      <c r="D2542" s="60" t="n"/>
    </row>
    <row r="2543">
      <c r="C2543" s="60" t="n"/>
      <c r="D2543" s="60" t="n"/>
    </row>
    <row r="2544">
      <c r="C2544" s="60" t="n"/>
      <c r="D2544" s="60" t="n"/>
    </row>
    <row r="2545">
      <c r="C2545" s="60" t="n"/>
      <c r="D2545" s="60" t="n"/>
    </row>
    <row r="2546">
      <c r="C2546" s="60" t="n"/>
      <c r="D2546" s="60" t="n"/>
    </row>
    <row r="2547">
      <c r="C2547" s="60" t="n"/>
      <c r="D2547" s="60" t="n"/>
    </row>
    <row r="2548">
      <c r="C2548" s="60" t="n"/>
      <c r="D2548" s="60" t="n"/>
    </row>
    <row r="2549">
      <c r="C2549" s="60" t="n"/>
      <c r="D2549" s="60" t="n"/>
    </row>
    <row r="2550">
      <c r="C2550" s="60" t="n"/>
      <c r="D2550" s="60" t="n"/>
    </row>
    <row r="2551">
      <c r="C2551" s="60" t="n"/>
      <c r="D2551" s="60" t="n"/>
    </row>
    <row r="2552">
      <c r="C2552" s="60" t="n"/>
      <c r="D2552" s="60" t="n"/>
    </row>
    <row r="2553">
      <c r="C2553" s="60" t="n"/>
      <c r="D2553" s="60" t="n"/>
    </row>
    <row r="2554">
      <c r="C2554" s="60" t="n"/>
      <c r="D2554" s="60" t="n"/>
    </row>
    <row r="2555">
      <c r="C2555" s="60" t="n"/>
      <c r="D2555" s="60" t="n"/>
    </row>
    <row r="2556">
      <c r="C2556" s="60" t="n"/>
      <c r="D2556" s="60" t="n"/>
    </row>
    <row r="2557">
      <c r="C2557" s="60" t="n"/>
      <c r="D2557" s="60" t="n"/>
    </row>
    <row r="2558">
      <c r="C2558" s="60" t="n"/>
      <c r="D2558" s="60" t="n"/>
    </row>
    <row r="2559">
      <c r="C2559" s="60" t="n"/>
      <c r="D2559" s="60" t="n"/>
    </row>
    <row r="2560">
      <c r="C2560" s="60" t="n"/>
      <c r="D2560" s="60" t="n"/>
    </row>
    <row r="2561">
      <c r="C2561" s="60" t="n"/>
      <c r="D2561" s="60" t="n"/>
    </row>
    <row r="2562">
      <c r="C2562" s="60" t="n"/>
      <c r="D2562" s="60" t="n"/>
    </row>
    <row r="2563">
      <c r="C2563" s="60" t="n"/>
      <c r="D2563" s="60" t="n"/>
    </row>
    <row r="2564">
      <c r="C2564" s="60" t="n"/>
      <c r="D2564" s="60" t="n"/>
    </row>
    <row r="2565">
      <c r="C2565" s="60" t="n"/>
      <c r="D2565" s="60" t="n"/>
    </row>
    <row r="2566">
      <c r="C2566" s="60" t="n"/>
      <c r="D2566" s="60" t="n"/>
    </row>
    <row r="2567">
      <c r="C2567" s="60" t="n"/>
      <c r="D2567" s="60" t="n"/>
    </row>
    <row r="2568">
      <c r="C2568" s="60" t="n"/>
      <c r="D2568" s="60" t="n"/>
    </row>
    <row r="2569">
      <c r="C2569" s="60" t="n"/>
      <c r="D2569" s="60" t="n"/>
    </row>
    <row r="2570">
      <c r="C2570" s="60" t="n"/>
      <c r="D2570" s="60" t="n"/>
    </row>
    <row r="2571">
      <c r="C2571" s="60" t="n"/>
      <c r="D2571" s="60" t="n"/>
    </row>
    <row r="2572">
      <c r="C2572" s="60" t="n"/>
      <c r="D2572" s="60" t="n"/>
    </row>
    <row r="2573">
      <c r="C2573" s="60" t="n"/>
      <c r="D2573" s="60" t="n"/>
    </row>
    <row r="2574">
      <c r="C2574" s="60" t="n"/>
      <c r="D2574" s="60" t="n"/>
    </row>
    <row r="2575">
      <c r="C2575" s="60" t="n"/>
      <c r="D2575" s="60" t="n"/>
    </row>
    <row r="2576">
      <c r="C2576" s="60" t="n"/>
      <c r="D2576" s="60" t="n"/>
    </row>
    <row r="2577">
      <c r="C2577" s="60" t="n"/>
      <c r="D2577" s="60" t="n"/>
    </row>
    <row r="2578">
      <c r="C2578" s="60" t="n"/>
      <c r="D2578" s="60" t="n"/>
    </row>
    <row r="2579">
      <c r="C2579" s="60" t="n"/>
      <c r="D2579" s="60" t="n"/>
    </row>
    <row r="2580">
      <c r="C2580" s="60" t="n"/>
      <c r="D2580" s="60" t="n"/>
    </row>
    <row r="2581">
      <c r="C2581" s="60" t="n"/>
      <c r="D2581" s="60" t="n"/>
    </row>
    <row r="2582">
      <c r="C2582" s="60" t="n"/>
      <c r="D2582" s="60" t="n"/>
    </row>
    <row r="2583">
      <c r="C2583" s="60" t="n"/>
      <c r="D2583" s="60" t="n"/>
    </row>
    <row r="2584">
      <c r="C2584" s="60" t="n"/>
      <c r="D2584" s="60" t="n"/>
    </row>
    <row r="2585">
      <c r="C2585" s="60" t="n"/>
      <c r="D2585" s="60" t="n"/>
    </row>
    <row r="2586">
      <c r="C2586" s="60" t="n"/>
      <c r="D2586" s="60" t="n"/>
    </row>
    <row r="2587">
      <c r="C2587" s="60" t="n"/>
      <c r="D2587" s="60" t="n"/>
    </row>
    <row r="2588">
      <c r="C2588" s="60" t="n"/>
      <c r="D2588" s="60" t="n"/>
    </row>
    <row r="2589">
      <c r="C2589" s="60" t="n"/>
      <c r="D2589" s="60" t="n"/>
    </row>
    <row r="2590">
      <c r="C2590" s="60" t="n"/>
      <c r="D2590" s="60" t="n"/>
    </row>
    <row r="2591">
      <c r="C2591" s="60" t="n"/>
      <c r="D2591" s="60" t="n"/>
    </row>
    <row r="2592">
      <c r="C2592" s="60" t="n"/>
      <c r="D2592" s="60" t="n"/>
    </row>
    <row r="2593">
      <c r="C2593" s="60" t="n"/>
      <c r="D2593" s="60" t="n"/>
    </row>
    <row r="2594">
      <c r="C2594" s="60" t="n"/>
      <c r="D2594" s="60" t="n"/>
    </row>
    <row r="2595">
      <c r="C2595" s="60" t="n"/>
      <c r="D2595" s="60" t="n"/>
    </row>
    <row r="2596">
      <c r="C2596" s="60" t="n"/>
      <c r="D2596" s="60" t="n"/>
    </row>
    <row r="2597">
      <c r="C2597" s="60" t="n"/>
      <c r="D2597" s="60" t="n"/>
    </row>
    <row r="2598">
      <c r="C2598" s="60" t="n"/>
      <c r="D2598" s="60" t="n"/>
    </row>
    <row r="2599">
      <c r="C2599" s="60" t="n"/>
      <c r="D2599" s="60" t="n"/>
    </row>
    <row r="2600">
      <c r="C2600" s="60" t="n"/>
      <c r="D2600" s="60" t="n"/>
    </row>
    <row r="2601">
      <c r="C2601" s="60" t="n"/>
      <c r="D2601" s="60" t="n"/>
    </row>
    <row r="2602">
      <c r="C2602" s="60" t="n"/>
      <c r="D2602" s="60" t="n"/>
    </row>
    <row r="2603">
      <c r="C2603" s="60" t="n"/>
      <c r="D2603" s="60" t="n"/>
    </row>
    <row r="2604">
      <c r="C2604" s="60" t="n"/>
      <c r="D2604" s="60" t="n"/>
    </row>
    <row r="2605">
      <c r="C2605" s="60" t="n"/>
      <c r="D2605" s="60" t="n"/>
    </row>
    <row r="2606">
      <c r="C2606" s="60" t="n"/>
      <c r="D2606" s="60" t="n"/>
    </row>
    <row r="2607">
      <c r="C2607" s="60" t="n"/>
      <c r="D2607" s="60" t="n"/>
    </row>
    <row r="2608">
      <c r="C2608" s="60" t="n"/>
      <c r="D2608" s="60" t="n"/>
    </row>
    <row r="2609">
      <c r="C2609" s="60" t="n"/>
      <c r="D2609" s="60" t="n"/>
    </row>
    <row r="2610">
      <c r="C2610" s="60" t="n"/>
      <c r="D2610" s="60" t="n"/>
    </row>
    <row r="2611">
      <c r="C2611" s="60" t="n"/>
      <c r="D2611" s="60" t="n"/>
    </row>
    <row r="2612">
      <c r="C2612" s="60" t="n"/>
      <c r="D2612" s="60" t="n"/>
    </row>
    <row r="2613">
      <c r="C2613" s="60" t="n"/>
      <c r="D2613" s="60" t="n"/>
    </row>
    <row r="2614">
      <c r="C2614" s="60" t="n"/>
      <c r="D2614" s="60" t="n"/>
    </row>
    <row r="2615">
      <c r="C2615" s="60" t="n"/>
      <c r="D2615" s="60" t="n"/>
    </row>
    <row r="2616">
      <c r="C2616" s="60" t="n"/>
      <c r="D2616" s="60" t="n"/>
    </row>
    <row r="2617">
      <c r="C2617" s="60" t="n"/>
      <c r="D2617" s="60" t="n"/>
    </row>
    <row r="2618">
      <c r="C2618" s="60" t="n"/>
      <c r="D2618" s="60" t="n"/>
    </row>
    <row r="2619">
      <c r="C2619" s="60" t="n"/>
      <c r="D2619" s="60" t="n"/>
    </row>
    <row r="2620">
      <c r="C2620" s="60" t="n"/>
      <c r="D2620" s="60" t="n"/>
    </row>
    <row r="2621">
      <c r="C2621" s="60" t="n"/>
      <c r="D2621" s="60" t="n"/>
    </row>
    <row r="2622">
      <c r="C2622" s="60" t="n"/>
      <c r="D2622" s="60" t="n"/>
    </row>
    <row r="2623">
      <c r="C2623" s="60" t="n"/>
      <c r="D2623" s="60" t="n"/>
    </row>
    <row r="2624">
      <c r="C2624" s="60" t="n"/>
      <c r="D2624" s="60" t="n"/>
    </row>
    <row r="2625">
      <c r="C2625" s="60" t="n"/>
      <c r="D2625" s="60" t="n"/>
    </row>
    <row r="2626">
      <c r="C2626" s="60" t="n"/>
      <c r="D2626" s="60" t="n"/>
    </row>
    <row r="2627">
      <c r="C2627" s="60" t="n"/>
      <c r="D2627" s="60" t="n"/>
    </row>
    <row r="2628">
      <c r="C2628" s="60" t="n"/>
      <c r="D2628" s="60" t="n"/>
    </row>
    <row r="2629">
      <c r="C2629" s="60" t="n"/>
      <c r="D2629" s="60" t="n"/>
    </row>
    <row r="2630">
      <c r="C2630" s="60" t="n"/>
      <c r="D2630" s="60" t="n"/>
    </row>
    <row r="2631">
      <c r="C2631" s="60" t="n"/>
      <c r="D2631" s="60" t="n"/>
    </row>
    <row r="2632">
      <c r="C2632" s="60" t="n"/>
      <c r="D2632" s="60" t="n"/>
    </row>
    <row r="2633">
      <c r="C2633" s="60" t="n"/>
      <c r="D2633" s="60" t="n"/>
    </row>
    <row r="2634">
      <c r="C2634" s="60" t="n"/>
      <c r="D2634" s="60" t="n"/>
    </row>
    <row r="2635">
      <c r="C2635" s="60" t="n"/>
      <c r="D2635" s="60" t="n"/>
    </row>
    <row r="2636">
      <c r="C2636" s="60" t="n"/>
      <c r="D2636" s="60" t="n"/>
    </row>
    <row r="2637">
      <c r="C2637" s="60" t="n"/>
      <c r="D2637" s="60" t="n"/>
    </row>
    <row r="2638">
      <c r="C2638" s="60" t="n"/>
      <c r="D2638" s="60" t="n"/>
    </row>
    <row r="2639">
      <c r="C2639" s="60" t="n"/>
      <c r="D2639" s="60" t="n"/>
    </row>
    <row r="2640">
      <c r="C2640" s="60" t="n"/>
      <c r="D2640" s="60" t="n"/>
    </row>
    <row r="2641">
      <c r="C2641" s="60" t="n"/>
      <c r="D2641" s="60" t="n"/>
    </row>
    <row r="2642">
      <c r="C2642" s="60" t="n"/>
      <c r="D2642" s="60" t="n"/>
    </row>
    <row r="2643">
      <c r="C2643" s="60" t="n"/>
      <c r="D2643" s="60" t="n"/>
    </row>
    <row r="2644">
      <c r="C2644" s="60" t="n"/>
      <c r="D2644" s="60" t="n"/>
    </row>
    <row r="2645">
      <c r="C2645" s="60" t="n"/>
      <c r="D2645" s="60" t="n"/>
    </row>
    <row r="2646">
      <c r="C2646" s="60" t="n"/>
      <c r="D2646" s="60" t="n"/>
    </row>
    <row r="2647">
      <c r="C2647" s="60" t="n"/>
      <c r="D2647" s="60" t="n"/>
    </row>
    <row r="2648">
      <c r="C2648" s="60" t="n"/>
      <c r="D2648" s="60" t="n"/>
    </row>
    <row r="2649">
      <c r="C2649" s="60" t="n"/>
      <c r="D2649" s="60" t="n"/>
    </row>
    <row r="2650">
      <c r="C2650" s="60" t="n"/>
      <c r="D2650" s="60" t="n"/>
    </row>
    <row r="2651">
      <c r="C2651" s="60" t="n"/>
      <c r="D2651" s="60" t="n"/>
    </row>
    <row r="2652">
      <c r="C2652" s="60" t="n"/>
      <c r="D2652" s="60" t="n"/>
    </row>
    <row r="2653">
      <c r="C2653" s="60" t="n"/>
      <c r="D2653" s="60" t="n"/>
    </row>
    <row r="2654">
      <c r="C2654" s="60" t="n"/>
      <c r="D2654" s="60" t="n"/>
    </row>
    <row r="2655">
      <c r="C2655" s="60" t="n"/>
      <c r="D2655" s="60" t="n"/>
    </row>
    <row r="2656">
      <c r="C2656" s="60" t="n"/>
      <c r="D2656" s="60" t="n"/>
    </row>
    <row r="2657">
      <c r="C2657" s="60" t="n"/>
      <c r="D2657" s="60" t="n"/>
    </row>
    <row r="2658">
      <c r="C2658" s="60" t="n"/>
      <c r="D2658" s="60" t="n"/>
    </row>
    <row r="2659">
      <c r="C2659" s="60" t="n"/>
      <c r="D2659" s="60" t="n"/>
    </row>
    <row r="2660">
      <c r="C2660" s="60" t="n"/>
      <c r="D2660" s="60" t="n"/>
    </row>
    <row r="2661">
      <c r="C2661" s="60" t="n"/>
      <c r="D2661" s="60" t="n"/>
    </row>
    <row r="2662">
      <c r="C2662" s="60" t="n"/>
      <c r="D2662" s="60" t="n"/>
    </row>
    <row r="2663">
      <c r="C2663" s="60" t="n"/>
      <c r="D2663" s="60" t="n"/>
    </row>
    <row r="2664">
      <c r="C2664" s="60" t="n"/>
      <c r="D2664" s="60" t="n"/>
    </row>
    <row r="2665">
      <c r="C2665" s="60" t="n"/>
      <c r="D2665" s="60" t="n"/>
    </row>
    <row r="2666">
      <c r="C2666" s="60" t="n"/>
      <c r="D2666" s="60" t="n"/>
    </row>
    <row r="2667">
      <c r="C2667" s="60" t="n"/>
      <c r="D2667" s="60" t="n"/>
    </row>
    <row r="2668">
      <c r="C2668" s="60" t="n"/>
      <c r="D2668" s="60" t="n"/>
    </row>
    <row r="2669">
      <c r="C2669" s="60" t="n"/>
      <c r="D2669" s="60" t="n"/>
    </row>
    <row r="2670">
      <c r="C2670" s="60" t="n"/>
      <c r="D2670" s="60" t="n"/>
    </row>
    <row r="2671">
      <c r="C2671" s="60" t="n"/>
      <c r="D2671" s="60" t="n"/>
    </row>
    <row r="2672">
      <c r="C2672" s="60" t="n"/>
      <c r="D2672" s="60" t="n"/>
    </row>
    <row r="2673">
      <c r="C2673" s="60" t="n"/>
      <c r="D2673" s="60" t="n"/>
    </row>
    <row r="2674">
      <c r="C2674" s="60" t="n"/>
      <c r="D2674" s="60" t="n"/>
    </row>
    <row r="2675">
      <c r="C2675" s="60" t="n"/>
      <c r="D2675" s="60" t="n"/>
    </row>
    <row r="2676">
      <c r="C2676" s="60" t="n"/>
      <c r="D2676" s="60" t="n"/>
    </row>
    <row r="2677">
      <c r="C2677" s="60" t="n"/>
      <c r="D2677" s="60" t="n"/>
    </row>
    <row r="2678">
      <c r="C2678" s="60" t="n"/>
      <c r="D2678" s="60" t="n"/>
    </row>
    <row r="2679">
      <c r="C2679" s="60" t="n"/>
      <c r="D2679" s="60" t="n"/>
    </row>
    <row r="2680">
      <c r="C2680" s="60" t="n"/>
      <c r="D2680" s="60" t="n"/>
    </row>
    <row r="2681">
      <c r="C2681" s="60" t="n"/>
      <c r="D2681" s="60" t="n"/>
    </row>
    <row r="2682">
      <c r="C2682" s="60" t="n"/>
      <c r="D2682" s="60" t="n"/>
    </row>
    <row r="2683">
      <c r="C2683" s="60" t="n"/>
      <c r="D2683" s="60" t="n"/>
    </row>
    <row r="2684">
      <c r="C2684" s="60" t="n"/>
      <c r="D2684" s="60" t="n"/>
    </row>
    <row r="2685">
      <c r="C2685" s="60" t="n"/>
      <c r="D2685" s="60" t="n"/>
    </row>
    <row r="2686">
      <c r="C2686" s="60" t="n"/>
      <c r="D2686" s="60" t="n"/>
    </row>
    <row r="2687">
      <c r="C2687" s="60" t="n"/>
      <c r="D2687" s="60" t="n"/>
    </row>
    <row r="2688">
      <c r="C2688" s="60" t="n"/>
      <c r="D2688" s="60" t="n"/>
    </row>
    <row r="2689">
      <c r="C2689" s="60" t="n"/>
      <c r="D2689" s="60" t="n"/>
    </row>
    <row r="2690">
      <c r="C2690" s="60" t="n"/>
      <c r="D2690" s="60" t="n"/>
    </row>
    <row r="2691">
      <c r="C2691" s="60" t="n"/>
      <c r="D2691" s="60" t="n"/>
    </row>
    <row r="2692">
      <c r="C2692" s="60" t="n"/>
      <c r="D2692" s="60" t="n"/>
    </row>
    <row r="2693">
      <c r="C2693" s="60" t="n"/>
      <c r="D2693" s="60" t="n"/>
    </row>
    <row r="2694">
      <c r="C2694" s="60" t="n"/>
      <c r="D2694" s="60" t="n"/>
    </row>
    <row r="2695">
      <c r="C2695" s="60" t="n"/>
      <c r="D2695" s="60" t="n"/>
    </row>
    <row r="2696">
      <c r="C2696" s="60" t="n"/>
      <c r="D2696" s="60" t="n"/>
    </row>
    <row r="2697">
      <c r="C2697" s="60" t="n"/>
      <c r="D2697" s="60" t="n"/>
    </row>
    <row r="2698">
      <c r="C2698" s="60" t="n"/>
      <c r="D2698" s="60" t="n"/>
    </row>
    <row r="2699">
      <c r="C2699" s="60" t="n"/>
      <c r="D2699" s="60" t="n"/>
    </row>
    <row r="2700">
      <c r="C2700" s="60" t="n"/>
      <c r="D2700" s="60" t="n"/>
    </row>
    <row r="2701">
      <c r="C2701" s="60" t="n"/>
      <c r="D2701" s="60" t="n"/>
    </row>
    <row r="2702">
      <c r="C2702" s="60" t="n"/>
      <c r="D2702" s="60" t="n"/>
    </row>
    <row r="2703">
      <c r="C2703" s="60" t="n"/>
      <c r="D2703" s="60" t="n"/>
    </row>
    <row r="2704">
      <c r="C2704" s="60" t="n"/>
      <c r="D2704" s="60" t="n"/>
    </row>
    <row r="2705">
      <c r="C2705" s="60" t="n"/>
      <c r="D2705" s="60" t="n"/>
    </row>
    <row r="2706">
      <c r="C2706" s="60" t="n"/>
      <c r="D2706" s="60" t="n"/>
    </row>
    <row r="2707">
      <c r="C2707" s="60" t="n"/>
      <c r="D2707" s="60" t="n"/>
    </row>
    <row r="2708">
      <c r="C2708" s="60" t="n"/>
      <c r="D2708" s="60" t="n"/>
    </row>
    <row r="2709">
      <c r="C2709" s="60" t="n"/>
      <c r="D2709" s="60" t="n"/>
    </row>
    <row r="2710">
      <c r="C2710" s="60" t="n"/>
      <c r="D2710" s="60" t="n"/>
    </row>
    <row r="2711">
      <c r="C2711" s="60" t="n"/>
      <c r="D2711" s="60" t="n"/>
    </row>
    <row r="2712">
      <c r="C2712" s="60" t="n"/>
      <c r="D2712" s="60" t="n"/>
    </row>
    <row r="2713">
      <c r="C2713" s="60" t="n"/>
      <c r="D2713" s="60" t="n"/>
    </row>
    <row r="2714">
      <c r="C2714" s="60" t="n"/>
      <c r="D2714" s="60" t="n"/>
    </row>
    <row r="2715">
      <c r="C2715" s="60" t="n"/>
      <c r="D2715" s="60" t="n"/>
    </row>
    <row r="2716">
      <c r="C2716" s="60" t="n"/>
      <c r="D2716" s="60" t="n"/>
    </row>
    <row r="2717">
      <c r="C2717" s="60" t="n"/>
      <c r="D2717" s="60" t="n"/>
    </row>
    <row r="2718">
      <c r="C2718" s="60" t="n"/>
      <c r="D2718" s="60" t="n"/>
    </row>
    <row r="2719">
      <c r="C2719" s="60" t="n"/>
      <c r="D2719" s="60" t="n"/>
    </row>
    <row r="2720">
      <c r="C2720" s="60" t="n"/>
      <c r="D2720" s="60" t="n"/>
    </row>
    <row r="2721">
      <c r="C2721" s="60" t="n"/>
      <c r="D2721" s="60" t="n"/>
    </row>
    <row r="2722">
      <c r="C2722" s="60" t="n"/>
      <c r="D2722" s="60" t="n"/>
    </row>
    <row r="2723">
      <c r="C2723" s="60" t="n"/>
      <c r="D2723" s="60" t="n"/>
    </row>
    <row r="2724">
      <c r="C2724" s="60" t="n"/>
      <c r="D2724" s="60" t="n"/>
    </row>
    <row r="2725">
      <c r="C2725" s="60" t="n"/>
      <c r="D2725" s="60" t="n"/>
    </row>
    <row r="2726">
      <c r="C2726" s="60" t="n"/>
      <c r="D2726" s="60" t="n"/>
    </row>
    <row r="2727">
      <c r="C2727" s="60" t="n"/>
      <c r="D2727" s="60" t="n"/>
    </row>
    <row r="2728">
      <c r="C2728" s="60" t="n"/>
      <c r="D2728" s="60" t="n"/>
    </row>
    <row r="2729">
      <c r="C2729" s="60" t="n"/>
      <c r="D2729" s="60" t="n"/>
    </row>
    <row r="2730">
      <c r="C2730" s="60" t="n"/>
      <c r="D2730" s="60" t="n"/>
    </row>
    <row r="2731">
      <c r="C2731" s="60" t="n"/>
      <c r="D2731" s="60" t="n"/>
    </row>
    <row r="2732">
      <c r="C2732" s="60" t="n"/>
      <c r="D2732" s="60" t="n"/>
    </row>
    <row r="2733">
      <c r="C2733" s="60" t="n"/>
      <c r="D2733" s="60" t="n"/>
    </row>
    <row r="2734">
      <c r="C2734" s="60" t="n"/>
      <c r="D2734" s="60" t="n"/>
    </row>
    <row r="2735">
      <c r="C2735" s="60" t="n"/>
      <c r="D2735" s="60" t="n"/>
    </row>
    <row r="2736">
      <c r="C2736" s="60" t="n"/>
      <c r="D2736" s="60" t="n"/>
    </row>
    <row r="2737">
      <c r="C2737" s="60" t="n"/>
      <c r="D2737" s="60" t="n"/>
    </row>
    <row r="2738">
      <c r="C2738" s="60" t="n"/>
      <c r="D2738" s="60" t="n"/>
    </row>
    <row r="2739">
      <c r="C2739" s="60" t="n"/>
      <c r="D2739" s="60" t="n"/>
    </row>
    <row r="2740">
      <c r="C2740" s="60" t="n"/>
      <c r="D2740" s="60" t="n"/>
    </row>
    <row r="2741">
      <c r="C2741" s="60" t="n"/>
      <c r="D2741" s="60" t="n"/>
    </row>
    <row r="2742">
      <c r="C2742" s="60" t="n"/>
      <c r="D2742" s="60" t="n"/>
    </row>
    <row r="2743">
      <c r="C2743" s="60" t="n"/>
      <c r="D2743" s="60" t="n"/>
    </row>
    <row r="2744">
      <c r="C2744" s="60" t="n"/>
      <c r="D2744" s="60" t="n"/>
    </row>
    <row r="2745">
      <c r="C2745" s="60" t="n"/>
      <c r="D2745" s="60" t="n"/>
    </row>
    <row r="2746">
      <c r="C2746" s="60" t="n"/>
      <c r="D2746" s="60" t="n"/>
    </row>
    <row r="2747">
      <c r="C2747" s="60" t="n"/>
      <c r="D2747" s="60" t="n"/>
    </row>
    <row r="2748">
      <c r="C2748" s="60" t="n"/>
      <c r="D2748" s="60" t="n"/>
    </row>
    <row r="2749">
      <c r="C2749" s="60" t="n"/>
      <c r="D2749" s="60" t="n"/>
    </row>
    <row r="2750">
      <c r="C2750" s="60" t="n"/>
      <c r="D2750" s="60" t="n"/>
    </row>
    <row r="2751">
      <c r="C2751" s="60" t="n"/>
      <c r="D2751" s="60" t="n"/>
    </row>
    <row r="2752">
      <c r="C2752" s="60" t="n"/>
      <c r="D2752" s="60" t="n"/>
    </row>
    <row r="2753">
      <c r="C2753" s="60" t="n"/>
      <c r="D2753" s="60" t="n"/>
    </row>
    <row r="2754">
      <c r="C2754" s="60" t="n"/>
      <c r="D2754" s="60" t="n"/>
    </row>
    <row r="2755">
      <c r="C2755" s="60" t="n"/>
      <c r="D2755" s="60" t="n"/>
    </row>
    <row r="2756">
      <c r="C2756" s="60" t="n"/>
      <c r="D2756" s="60" t="n"/>
    </row>
    <row r="2757">
      <c r="C2757" s="60" t="n"/>
      <c r="D2757" s="60" t="n"/>
    </row>
    <row r="2758">
      <c r="C2758" s="60" t="n"/>
      <c r="D2758" s="60" t="n"/>
    </row>
    <row r="2759">
      <c r="C2759" s="60" t="n"/>
      <c r="D2759" s="60" t="n"/>
    </row>
    <row r="2760">
      <c r="C2760" s="60" t="n"/>
      <c r="D2760" s="60" t="n"/>
    </row>
    <row r="2761">
      <c r="C2761" s="60" t="n"/>
      <c r="D2761" s="60" t="n"/>
    </row>
    <row r="2762">
      <c r="C2762" s="60" t="n"/>
      <c r="D2762" s="60" t="n"/>
    </row>
    <row r="2763">
      <c r="C2763" s="60" t="n"/>
      <c r="D2763" s="60" t="n"/>
    </row>
    <row r="2764">
      <c r="C2764" s="60" t="n"/>
      <c r="D2764" s="60" t="n"/>
    </row>
    <row r="2765">
      <c r="C2765" s="60" t="n"/>
      <c r="D2765" s="60" t="n"/>
    </row>
    <row r="2766">
      <c r="C2766" s="60" t="n"/>
      <c r="D2766" s="60" t="n"/>
    </row>
    <row r="2767">
      <c r="C2767" s="60" t="n"/>
      <c r="D2767" s="60" t="n"/>
    </row>
    <row r="2768">
      <c r="C2768" s="60" t="n"/>
      <c r="D2768" s="60" t="n"/>
    </row>
    <row r="2769">
      <c r="C2769" s="60" t="n"/>
      <c r="D2769" s="60" t="n"/>
    </row>
    <row r="2770">
      <c r="C2770" s="60" t="n"/>
      <c r="D2770" s="60" t="n"/>
    </row>
    <row r="2771">
      <c r="C2771" s="60" t="n"/>
      <c r="D2771" s="60" t="n"/>
    </row>
    <row r="2772">
      <c r="C2772" s="60" t="n"/>
      <c r="D2772" s="60" t="n"/>
    </row>
    <row r="2773">
      <c r="C2773" s="60" t="n"/>
      <c r="D2773" s="60" t="n"/>
    </row>
    <row r="2774">
      <c r="C2774" s="60" t="n"/>
      <c r="D2774" s="60" t="n"/>
    </row>
    <row r="2775">
      <c r="C2775" s="60" t="n"/>
      <c r="D2775" s="60" t="n"/>
    </row>
    <row r="2776">
      <c r="C2776" s="60" t="n"/>
      <c r="D2776" s="60" t="n"/>
    </row>
    <row r="2777">
      <c r="C2777" s="60" t="n"/>
      <c r="D2777" s="60" t="n"/>
    </row>
    <row r="2778">
      <c r="C2778" s="60" t="n"/>
      <c r="D2778" s="60" t="n"/>
    </row>
    <row r="2779">
      <c r="C2779" s="60" t="n"/>
      <c r="D2779" s="60" t="n"/>
    </row>
    <row r="2780">
      <c r="C2780" s="60" t="n"/>
      <c r="D2780" s="60" t="n"/>
    </row>
    <row r="2781">
      <c r="C2781" s="60" t="n"/>
      <c r="D2781" s="60" t="n"/>
    </row>
    <row r="2782">
      <c r="C2782" s="60" t="n"/>
      <c r="D2782" s="60" t="n"/>
    </row>
    <row r="2783">
      <c r="C2783" s="60" t="n"/>
      <c r="D2783" s="60" t="n"/>
    </row>
    <row r="2784">
      <c r="C2784" s="60" t="n"/>
      <c r="D2784" s="60" t="n"/>
    </row>
    <row r="2785">
      <c r="C2785" s="60" t="n"/>
      <c r="D2785" s="60" t="n"/>
    </row>
    <row r="2786">
      <c r="C2786" s="60" t="n"/>
      <c r="D2786" s="60" t="n"/>
    </row>
    <row r="2787">
      <c r="C2787" s="60" t="n"/>
      <c r="D2787" s="60" t="n"/>
    </row>
    <row r="2788">
      <c r="C2788" s="60" t="n"/>
      <c r="D2788" s="60" t="n"/>
    </row>
    <row r="2789">
      <c r="C2789" s="60" t="n"/>
      <c r="D2789" s="60" t="n"/>
    </row>
    <row r="2790">
      <c r="C2790" s="60" t="n"/>
      <c r="D2790" s="60" t="n"/>
    </row>
    <row r="2791">
      <c r="C2791" s="60" t="n"/>
      <c r="D2791" s="60" t="n"/>
    </row>
    <row r="2792">
      <c r="C2792" s="60" t="n"/>
      <c r="D2792" s="60" t="n"/>
    </row>
    <row r="2793">
      <c r="C2793" s="60" t="n"/>
      <c r="D2793" s="60" t="n"/>
    </row>
    <row r="2794">
      <c r="C2794" s="60" t="n"/>
      <c r="D2794" s="60" t="n"/>
    </row>
    <row r="2795">
      <c r="C2795" s="60" t="n"/>
      <c r="D2795" s="60" t="n"/>
    </row>
    <row r="2796">
      <c r="C2796" s="60" t="n"/>
      <c r="D2796" s="60" t="n"/>
    </row>
    <row r="2797">
      <c r="C2797" s="60" t="n"/>
      <c r="D2797" s="60" t="n"/>
    </row>
    <row r="2798">
      <c r="C2798" s="60" t="n"/>
      <c r="D2798" s="60" t="n"/>
    </row>
    <row r="2799">
      <c r="C2799" s="60" t="n"/>
      <c r="D2799" s="60" t="n"/>
    </row>
    <row r="2800">
      <c r="C2800" s="60" t="n"/>
      <c r="D2800" s="60" t="n"/>
    </row>
    <row r="2801">
      <c r="C2801" s="60" t="n"/>
      <c r="D2801" s="60" t="n"/>
    </row>
    <row r="2802">
      <c r="C2802" s="60" t="n"/>
      <c r="D2802" s="60" t="n"/>
    </row>
    <row r="2803">
      <c r="C2803" s="60" t="n"/>
      <c r="D2803" s="60" t="n"/>
    </row>
    <row r="2804">
      <c r="C2804" s="60" t="n"/>
      <c r="D2804" s="60" t="n"/>
    </row>
    <row r="2805">
      <c r="C2805" s="60" t="n"/>
      <c r="D2805" s="60" t="n"/>
    </row>
    <row r="2806">
      <c r="C2806" s="60" t="n"/>
      <c r="D2806" s="60" t="n"/>
    </row>
    <row r="2807">
      <c r="C2807" s="60" t="n"/>
      <c r="D2807" s="60" t="n"/>
    </row>
    <row r="2808">
      <c r="C2808" s="60" t="n"/>
      <c r="D2808" s="60" t="n"/>
    </row>
    <row r="2809">
      <c r="C2809" s="60" t="n"/>
      <c r="D2809" s="60" t="n"/>
    </row>
    <row r="2810">
      <c r="C2810" s="60" t="n"/>
      <c r="D2810" s="60" t="n"/>
    </row>
    <row r="2811">
      <c r="C2811" s="60" t="n"/>
      <c r="D2811" s="60" t="n"/>
    </row>
    <row r="2812">
      <c r="C2812" s="60" t="n"/>
      <c r="D2812" s="60" t="n"/>
    </row>
    <row r="2813">
      <c r="C2813" s="60" t="n"/>
      <c r="D2813" s="60" t="n"/>
    </row>
    <row r="2814">
      <c r="C2814" s="60" t="n"/>
      <c r="D2814" s="60" t="n"/>
    </row>
    <row r="2815">
      <c r="C2815" s="60" t="n"/>
      <c r="D2815" s="60" t="n"/>
    </row>
    <row r="2816">
      <c r="C2816" s="60" t="n"/>
      <c r="D2816" s="60" t="n"/>
    </row>
    <row r="2817">
      <c r="C2817" s="60" t="n"/>
      <c r="D2817" s="60" t="n"/>
    </row>
    <row r="2818">
      <c r="C2818" s="60" t="n"/>
      <c r="D2818" s="60" t="n"/>
    </row>
    <row r="2819">
      <c r="C2819" s="60" t="n"/>
      <c r="D2819" s="60" t="n"/>
    </row>
    <row r="2820">
      <c r="C2820" s="60" t="n"/>
      <c r="D2820" s="60" t="n"/>
    </row>
    <row r="2821">
      <c r="C2821" s="60" t="n"/>
      <c r="D2821" s="60" t="n"/>
    </row>
    <row r="2822">
      <c r="C2822" s="60" t="n"/>
      <c r="D2822" s="60" t="n"/>
    </row>
    <row r="2823">
      <c r="C2823" s="60" t="n"/>
      <c r="D2823" s="60" t="n"/>
    </row>
    <row r="2824">
      <c r="C2824" s="60" t="n"/>
      <c r="D2824" s="60" t="n"/>
    </row>
    <row r="2825">
      <c r="C2825" s="60" t="n"/>
      <c r="D2825" s="60" t="n"/>
    </row>
    <row r="2826">
      <c r="C2826" s="60" t="n"/>
      <c r="D2826" s="60" t="n"/>
    </row>
    <row r="2827">
      <c r="C2827" s="60" t="n"/>
      <c r="D2827" s="60" t="n"/>
    </row>
    <row r="2828">
      <c r="C2828" s="60" t="n"/>
      <c r="D2828" s="60" t="n"/>
    </row>
    <row r="2829">
      <c r="C2829" s="60" t="n"/>
      <c r="D2829" s="60" t="n"/>
    </row>
    <row r="2830">
      <c r="C2830" s="60" t="n"/>
      <c r="D2830" s="60" t="n"/>
    </row>
    <row r="2831">
      <c r="C2831" s="60" t="n"/>
      <c r="D2831" s="60" t="n"/>
    </row>
    <row r="2832">
      <c r="C2832" s="60" t="n"/>
      <c r="D2832" s="60" t="n"/>
    </row>
    <row r="2833">
      <c r="C2833" s="60" t="n"/>
      <c r="D2833" s="60" t="n"/>
    </row>
    <row r="2834">
      <c r="C2834" s="60" t="n"/>
      <c r="D2834" s="60" t="n"/>
    </row>
    <row r="2835">
      <c r="C2835" s="60" t="n"/>
      <c r="D2835" s="60" t="n"/>
    </row>
    <row r="2836">
      <c r="C2836" s="60" t="n"/>
      <c r="D2836" s="60" t="n"/>
    </row>
    <row r="2837">
      <c r="C2837" s="60" t="n"/>
      <c r="D2837" s="60" t="n"/>
    </row>
    <row r="2838">
      <c r="C2838" s="60" t="n"/>
      <c r="D2838" s="60" t="n"/>
    </row>
    <row r="2839">
      <c r="C2839" s="60" t="n"/>
      <c r="D2839" s="60" t="n"/>
    </row>
    <row r="2840">
      <c r="C2840" s="60" t="n"/>
      <c r="D2840" s="60" t="n"/>
    </row>
    <row r="2841">
      <c r="C2841" s="60" t="n"/>
      <c r="D2841" s="60" t="n"/>
    </row>
    <row r="2842">
      <c r="C2842" s="60" t="n"/>
      <c r="D2842" s="60" t="n"/>
    </row>
    <row r="2843">
      <c r="C2843" s="60" t="n"/>
      <c r="D2843" s="60" t="n"/>
    </row>
    <row r="2844">
      <c r="C2844" s="60" t="n"/>
      <c r="D2844" s="60" t="n"/>
    </row>
    <row r="2845">
      <c r="C2845" s="60" t="n"/>
      <c r="D2845" s="60" t="n"/>
    </row>
    <row r="2846">
      <c r="C2846" s="60" t="n"/>
      <c r="D2846" s="60" t="n"/>
    </row>
    <row r="2847">
      <c r="C2847" s="60" t="n"/>
      <c r="D2847" s="60" t="n"/>
    </row>
    <row r="2848">
      <c r="C2848" s="60" t="n"/>
      <c r="D2848" s="60" t="n"/>
    </row>
    <row r="2849">
      <c r="C2849" s="60" t="n"/>
      <c r="D2849" s="60" t="n"/>
    </row>
    <row r="2850">
      <c r="C2850" s="60" t="n"/>
      <c r="D2850" s="60" t="n"/>
    </row>
    <row r="2851">
      <c r="C2851" s="60" t="n"/>
      <c r="D2851" s="60" t="n"/>
    </row>
    <row r="2852">
      <c r="C2852" s="60" t="n"/>
      <c r="D2852" s="60" t="n"/>
    </row>
    <row r="2853">
      <c r="C2853" s="60" t="n"/>
      <c r="D2853" s="60" t="n"/>
    </row>
    <row r="2854">
      <c r="C2854" s="60" t="n"/>
      <c r="D2854" s="60" t="n"/>
    </row>
    <row r="2855">
      <c r="C2855" s="60" t="n"/>
      <c r="D2855" s="60" t="n"/>
    </row>
    <row r="2856">
      <c r="C2856" s="60" t="n"/>
      <c r="D2856" s="60" t="n"/>
    </row>
    <row r="2857">
      <c r="C2857" s="60" t="n"/>
      <c r="D2857" s="60" t="n"/>
    </row>
    <row r="2858">
      <c r="C2858" s="60" t="n"/>
      <c r="D2858" s="60" t="n"/>
    </row>
    <row r="2859">
      <c r="C2859" s="60" t="n"/>
      <c r="D2859" s="60" t="n"/>
    </row>
    <row r="2860">
      <c r="C2860" s="60" t="n"/>
      <c r="D2860" s="60" t="n"/>
    </row>
    <row r="2861">
      <c r="C2861" s="60" t="n"/>
      <c r="D2861" s="60" t="n"/>
    </row>
    <row r="2862">
      <c r="C2862" s="60" t="n"/>
      <c r="D2862" s="60" t="n"/>
    </row>
    <row r="2863">
      <c r="C2863" s="60" t="n"/>
      <c r="D2863" s="60" t="n"/>
    </row>
    <row r="2864">
      <c r="C2864" s="60" t="n"/>
      <c r="D2864" s="60" t="n"/>
    </row>
    <row r="2865">
      <c r="C2865" s="60" t="n"/>
      <c r="D2865" s="60" t="n"/>
    </row>
    <row r="2866">
      <c r="C2866" s="60" t="n"/>
      <c r="D2866" s="60" t="n"/>
    </row>
    <row r="2867">
      <c r="C2867" s="60" t="n"/>
      <c r="D2867" s="60" t="n"/>
    </row>
    <row r="2868">
      <c r="C2868" s="60" t="n"/>
      <c r="D2868" s="60" t="n"/>
    </row>
    <row r="2869">
      <c r="C2869" s="60" t="n"/>
      <c r="D2869" s="60" t="n"/>
    </row>
    <row r="2870">
      <c r="C2870" s="60" t="n"/>
      <c r="D2870" s="60" t="n"/>
    </row>
    <row r="2871">
      <c r="C2871" s="60" t="n"/>
      <c r="D2871" s="60" t="n"/>
    </row>
    <row r="2872">
      <c r="C2872" s="60" t="n"/>
      <c r="D2872" s="60" t="n"/>
    </row>
    <row r="2873">
      <c r="C2873" s="60" t="n"/>
      <c r="D2873" s="60" t="n"/>
    </row>
    <row r="2874">
      <c r="C2874" s="60" t="n"/>
      <c r="D2874" s="60" t="n"/>
    </row>
    <row r="2875">
      <c r="C2875" s="60" t="n"/>
      <c r="D2875" s="60" t="n"/>
    </row>
    <row r="2876">
      <c r="C2876" s="60" t="n"/>
      <c r="D2876" s="60" t="n"/>
    </row>
    <row r="2877">
      <c r="C2877" s="60" t="n"/>
      <c r="D2877" s="60" t="n"/>
    </row>
    <row r="2878">
      <c r="C2878" s="60" t="n"/>
      <c r="D2878" s="60" t="n"/>
    </row>
    <row r="2879">
      <c r="C2879" s="60" t="n"/>
      <c r="D2879" s="60" t="n"/>
    </row>
    <row r="2880">
      <c r="C2880" s="60" t="n"/>
      <c r="D2880" s="60" t="n"/>
    </row>
    <row r="2881">
      <c r="C2881" s="60" t="n"/>
      <c r="D2881" s="60" t="n"/>
    </row>
    <row r="2882">
      <c r="C2882" s="60" t="n"/>
      <c r="D2882" s="60" t="n"/>
    </row>
    <row r="2883">
      <c r="C2883" s="60" t="n"/>
      <c r="D2883" s="60" t="n"/>
    </row>
    <row r="2884">
      <c r="C2884" s="60" t="n"/>
      <c r="D2884" s="60" t="n"/>
    </row>
    <row r="2885">
      <c r="C2885" s="60" t="n"/>
      <c r="D2885" s="60" t="n"/>
    </row>
    <row r="2886">
      <c r="C2886" s="60" t="n"/>
      <c r="D2886" s="60" t="n"/>
    </row>
    <row r="2887">
      <c r="C2887" s="60" t="n"/>
      <c r="D2887" s="60" t="n"/>
    </row>
    <row r="2888">
      <c r="C2888" s="60" t="n"/>
      <c r="D2888" s="60" t="n"/>
    </row>
    <row r="2889">
      <c r="C2889" s="60" t="n"/>
      <c r="D2889" s="60" t="n"/>
    </row>
    <row r="2890">
      <c r="C2890" s="60" t="n"/>
      <c r="D2890" s="60" t="n"/>
    </row>
    <row r="2891">
      <c r="C2891" s="60" t="n"/>
      <c r="D2891" s="60" t="n"/>
    </row>
    <row r="2892">
      <c r="C2892" s="60" t="n"/>
      <c r="D2892" s="60" t="n"/>
    </row>
    <row r="2893">
      <c r="C2893" s="60" t="n"/>
      <c r="D2893" s="60" t="n"/>
    </row>
    <row r="2894">
      <c r="C2894" s="60" t="n"/>
      <c r="D2894" s="60" t="n"/>
    </row>
    <row r="2895">
      <c r="C2895" s="60" t="n"/>
      <c r="D2895" s="60" t="n"/>
    </row>
    <row r="2896">
      <c r="C2896" s="60" t="n"/>
      <c r="D2896" s="60" t="n"/>
    </row>
    <row r="2897">
      <c r="C2897" s="60" t="n"/>
      <c r="D2897" s="60" t="n"/>
    </row>
    <row r="2898">
      <c r="C2898" s="60" t="n"/>
      <c r="D2898" s="60" t="n"/>
    </row>
    <row r="2899">
      <c r="C2899" s="60" t="n"/>
      <c r="D2899" s="60" t="n"/>
    </row>
    <row r="2900">
      <c r="C2900" s="60" t="n"/>
      <c r="D2900" s="60" t="n"/>
    </row>
    <row r="2901">
      <c r="C2901" s="60" t="n"/>
      <c r="D2901" s="60" t="n"/>
    </row>
    <row r="2902">
      <c r="C2902" s="60" t="n"/>
      <c r="D2902" s="60" t="n"/>
    </row>
    <row r="2903">
      <c r="C2903" s="60" t="n"/>
      <c r="D2903" s="60" t="n"/>
    </row>
    <row r="2904">
      <c r="C2904" s="60" t="n"/>
      <c r="D2904" s="60" t="n"/>
    </row>
    <row r="2905">
      <c r="C2905" s="60" t="n"/>
      <c r="D2905" s="60" t="n"/>
    </row>
    <row r="2906">
      <c r="C2906" s="60" t="n"/>
      <c r="D2906" s="60" t="n"/>
    </row>
    <row r="2907">
      <c r="C2907" s="60" t="n"/>
      <c r="D2907" s="60" t="n"/>
    </row>
    <row r="2908">
      <c r="C2908" s="60" t="n"/>
      <c r="D2908" s="60" t="n"/>
    </row>
    <row r="2909">
      <c r="C2909" s="60" t="n"/>
      <c r="D2909" s="60" t="n"/>
    </row>
    <row r="2910">
      <c r="C2910" s="60" t="n"/>
      <c r="D2910" s="60" t="n"/>
    </row>
    <row r="2911">
      <c r="C2911" s="60" t="n"/>
      <c r="D2911" s="60" t="n"/>
    </row>
    <row r="2912">
      <c r="C2912" s="60" t="n"/>
      <c r="D2912" s="60" t="n"/>
    </row>
    <row r="2913">
      <c r="C2913" s="60" t="n"/>
      <c r="D2913" s="60" t="n"/>
    </row>
    <row r="2914">
      <c r="C2914" s="60" t="n"/>
      <c r="D2914" s="60" t="n"/>
    </row>
    <row r="2915">
      <c r="C2915" s="60" t="n"/>
      <c r="D2915" s="60" t="n"/>
    </row>
    <row r="2916">
      <c r="C2916" s="60" t="n"/>
      <c r="D2916" s="60" t="n"/>
    </row>
    <row r="2917">
      <c r="C2917" s="60" t="n"/>
      <c r="D2917" s="60" t="n"/>
    </row>
    <row r="2918">
      <c r="C2918" s="60" t="n"/>
      <c r="D2918" s="60" t="n"/>
    </row>
    <row r="2919">
      <c r="C2919" s="60" t="n"/>
      <c r="D2919" s="60" t="n"/>
    </row>
    <row r="2920">
      <c r="C2920" s="60" t="n"/>
      <c r="D2920" s="60" t="n"/>
    </row>
    <row r="2921">
      <c r="C2921" s="60" t="n"/>
      <c r="D2921" s="60" t="n"/>
    </row>
    <row r="2922">
      <c r="C2922" s="60" t="n"/>
      <c r="D2922" s="60" t="n"/>
    </row>
    <row r="2923">
      <c r="C2923" s="60" t="n"/>
      <c r="D2923" s="60" t="n"/>
    </row>
    <row r="2924">
      <c r="C2924" s="60" t="n"/>
      <c r="D2924" s="60" t="n"/>
    </row>
    <row r="2925">
      <c r="C2925" s="60" t="n"/>
      <c r="D2925" s="60" t="n"/>
    </row>
    <row r="2926">
      <c r="C2926" s="60" t="n"/>
      <c r="D2926" s="60" t="n"/>
    </row>
    <row r="2927">
      <c r="C2927" s="60" t="n"/>
      <c r="D2927" s="60" t="n"/>
    </row>
    <row r="2928">
      <c r="C2928" s="60" t="n"/>
      <c r="D2928" s="60" t="n"/>
    </row>
    <row r="2929">
      <c r="C2929" s="60" t="n"/>
      <c r="D2929" s="60" t="n"/>
    </row>
    <row r="2930">
      <c r="C2930" s="60" t="n"/>
      <c r="D2930" s="60" t="n"/>
    </row>
    <row r="2931">
      <c r="C2931" s="60" t="n"/>
      <c r="D2931" s="60" t="n"/>
    </row>
    <row r="2932">
      <c r="C2932" s="60" t="n"/>
      <c r="D2932" s="60" t="n"/>
    </row>
    <row r="2933">
      <c r="C2933" s="60" t="n"/>
      <c r="D2933" s="60" t="n"/>
    </row>
    <row r="2934">
      <c r="C2934" s="60" t="n"/>
      <c r="D2934" s="60" t="n"/>
    </row>
    <row r="2935">
      <c r="C2935" s="60" t="n"/>
      <c r="D2935" s="60" t="n"/>
    </row>
    <row r="2936">
      <c r="C2936" s="60" t="n"/>
      <c r="D2936" s="60" t="n"/>
    </row>
    <row r="2937">
      <c r="C2937" s="60" t="n"/>
      <c r="D2937" s="60" t="n"/>
    </row>
    <row r="2938">
      <c r="C2938" s="60" t="n"/>
      <c r="D2938" s="60" t="n"/>
    </row>
    <row r="2939">
      <c r="C2939" s="60" t="n"/>
      <c r="D2939" s="60" t="n"/>
    </row>
    <row r="2940">
      <c r="C2940" s="60" t="n"/>
      <c r="D2940" s="60" t="n"/>
    </row>
    <row r="2941">
      <c r="C2941" s="60" t="n"/>
      <c r="D2941" s="60" t="n"/>
    </row>
    <row r="2942">
      <c r="C2942" s="60" t="n"/>
      <c r="D2942" s="60" t="n"/>
    </row>
    <row r="2943">
      <c r="C2943" s="60" t="n"/>
      <c r="D2943" s="60" t="n"/>
    </row>
    <row r="2944">
      <c r="C2944" s="60" t="n"/>
      <c r="D2944" s="60" t="n"/>
    </row>
    <row r="2945">
      <c r="C2945" s="60" t="n"/>
      <c r="D2945" s="60" t="n"/>
    </row>
    <row r="2946">
      <c r="C2946" s="60" t="n"/>
      <c r="D2946" s="60" t="n"/>
    </row>
    <row r="2947">
      <c r="C2947" s="60" t="n"/>
      <c r="D2947" s="60" t="n"/>
    </row>
    <row r="2948">
      <c r="C2948" s="60" t="n"/>
      <c r="D2948" s="60" t="n"/>
    </row>
    <row r="2949">
      <c r="C2949" s="60" t="n"/>
      <c r="D2949" s="60" t="n"/>
    </row>
    <row r="2950">
      <c r="C2950" s="60" t="n"/>
      <c r="D2950" s="60" t="n"/>
    </row>
    <row r="2951">
      <c r="C2951" s="60" t="n"/>
      <c r="D2951" s="60" t="n"/>
    </row>
    <row r="2952">
      <c r="C2952" s="60" t="n"/>
      <c r="D2952" s="60" t="n"/>
    </row>
    <row r="2953">
      <c r="C2953" s="60" t="n"/>
      <c r="D2953" s="60" t="n"/>
    </row>
    <row r="2954">
      <c r="C2954" s="60" t="n"/>
      <c r="D2954" s="60" t="n"/>
    </row>
    <row r="2955">
      <c r="C2955" s="60" t="n"/>
      <c r="D2955" s="60" t="n"/>
    </row>
    <row r="2956">
      <c r="C2956" s="60" t="n"/>
      <c r="D2956" s="60" t="n"/>
    </row>
    <row r="2957">
      <c r="C2957" s="60" t="n"/>
      <c r="D2957" s="60" t="n"/>
    </row>
    <row r="2958">
      <c r="C2958" s="60" t="n"/>
      <c r="D2958" s="60" t="n"/>
    </row>
    <row r="2959">
      <c r="C2959" s="60" t="n"/>
      <c r="D2959" s="60" t="n"/>
    </row>
    <row r="2960">
      <c r="C2960" s="60" t="n"/>
      <c r="D2960" s="60" t="n"/>
    </row>
    <row r="2961">
      <c r="C2961" s="60" t="n"/>
      <c r="D2961" s="60" t="n"/>
    </row>
    <row r="2962">
      <c r="C2962" s="60" t="n"/>
      <c r="D2962" s="60" t="n"/>
    </row>
    <row r="2963">
      <c r="C2963" s="60" t="n"/>
      <c r="D2963" s="60" t="n"/>
    </row>
    <row r="2964">
      <c r="C2964" s="60" t="n"/>
      <c r="D2964" s="60" t="n"/>
    </row>
    <row r="2965">
      <c r="C2965" s="60" t="n"/>
      <c r="D2965" s="60" t="n"/>
    </row>
    <row r="2966">
      <c r="C2966" s="60" t="n"/>
      <c r="D2966" s="60" t="n"/>
    </row>
    <row r="2967">
      <c r="C2967" s="60" t="n"/>
      <c r="D2967" s="60" t="n"/>
    </row>
    <row r="2968">
      <c r="C2968" s="60" t="n"/>
      <c r="D2968" s="60" t="n"/>
    </row>
    <row r="2969">
      <c r="C2969" s="60" t="n"/>
      <c r="D2969" s="60" t="n"/>
    </row>
    <row r="2970">
      <c r="C2970" s="60" t="n"/>
      <c r="D2970" s="60" t="n"/>
    </row>
    <row r="2971">
      <c r="C2971" s="60" t="n"/>
      <c r="D2971" s="60" t="n"/>
    </row>
    <row r="2972">
      <c r="C2972" s="60" t="n"/>
      <c r="D2972" s="60" t="n"/>
    </row>
    <row r="2973">
      <c r="C2973" s="60" t="n"/>
      <c r="D2973" s="60" t="n"/>
    </row>
    <row r="2974">
      <c r="C2974" s="60" t="n"/>
      <c r="D2974" s="60" t="n"/>
    </row>
    <row r="2975">
      <c r="C2975" s="60" t="n"/>
      <c r="D2975" s="60" t="n"/>
    </row>
    <row r="2976">
      <c r="C2976" s="60" t="n"/>
      <c r="D2976" s="60" t="n"/>
    </row>
    <row r="2977">
      <c r="C2977" s="60" t="n"/>
      <c r="D2977" s="60" t="n"/>
    </row>
    <row r="2978">
      <c r="C2978" s="60" t="n"/>
      <c r="D2978" s="60" t="n"/>
    </row>
    <row r="2979">
      <c r="C2979" s="60" t="n"/>
      <c r="D2979" s="60" t="n"/>
    </row>
    <row r="2980">
      <c r="C2980" s="60" t="n"/>
      <c r="D2980" s="60" t="n"/>
    </row>
    <row r="2981">
      <c r="C2981" s="60" t="n"/>
      <c r="D2981" s="60" t="n"/>
    </row>
    <row r="2982">
      <c r="C2982" s="60" t="n"/>
      <c r="D2982" s="60" t="n"/>
    </row>
    <row r="2983">
      <c r="C2983" s="60" t="n"/>
      <c r="D2983" s="60" t="n"/>
    </row>
    <row r="2984">
      <c r="C2984" s="60" t="n"/>
      <c r="D2984" s="60" t="n"/>
    </row>
    <row r="2985">
      <c r="C2985" s="60" t="n"/>
      <c r="D2985" s="60" t="n"/>
    </row>
    <row r="2986">
      <c r="C2986" s="60" t="n"/>
      <c r="D2986" s="60" t="n"/>
    </row>
    <row r="2987">
      <c r="C2987" s="60" t="n"/>
      <c r="D2987" s="60" t="n"/>
    </row>
    <row r="2988">
      <c r="C2988" s="60" t="n"/>
      <c r="D2988" s="60" t="n"/>
    </row>
    <row r="2989">
      <c r="C2989" s="60" t="n"/>
      <c r="D2989" s="60" t="n"/>
    </row>
    <row r="2990">
      <c r="C2990" s="60" t="n"/>
      <c r="D2990" s="60" t="n"/>
    </row>
    <row r="2991">
      <c r="C2991" s="60" t="n"/>
      <c r="D2991" s="60" t="n"/>
    </row>
    <row r="2992">
      <c r="C2992" s="60" t="n"/>
      <c r="D2992" s="60" t="n"/>
    </row>
    <row r="2993">
      <c r="C2993" s="60" t="n"/>
      <c r="D2993" s="60" t="n"/>
    </row>
    <row r="2994">
      <c r="C2994" s="60" t="n"/>
      <c r="D2994" s="60" t="n"/>
    </row>
    <row r="2995">
      <c r="C2995" s="60" t="n"/>
      <c r="D2995" s="60" t="n"/>
    </row>
    <row r="2996">
      <c r="C2996" s="60" t="n"/>
      <c r="D2996" s="60" t="n"/>
    </row>
    <row r="2997">
      <c r="C2997" s="60" t="n"/>
      <c r="D2997" s="60" t="n"/>
    </row>
    <row r="2998">
      <c r="C2998" s="60" t="n"/>
      <c r="D2998" s="60" t="n"/>
    </row>
    <row r="2999">
      <c r="C2999" s="60" t="n"/>
      <c r="D2999" s="60" t="n"/>
    </row>
    <row r="3000">
      <c r="C3000" s="60" t="n"/>
      <c r="D3000" s="60" t="n"/>
    </row>
    <row r="3001">
      <c r="C3001" s="60" t="n"/>
      <c r="D3001" s="60" t="n"/>
    </row>
    <row r="3002">
      <c r="C3002" s="60" t="n"/>
      <c r="D3002" s="60" t="n"/>
    </row>
    <row r="3003">
      <c r="C3003" s="60" t="n"/>
      <c r="D3003" s="60" t="n"/>
    </row>
    <row r="3004">
      <c r="C3004" s="60" t="n"/>
      <c r="D3004" s="60" t="n"/>
    </row>
    <row r="3005">
      <c r="C3005" s="60" t="n"/>
      <c r="D3005" s="60" t="n"/>
    </row>
    <row r="3006">
      <c r="C3006" s="60" t="n"/>
      <c r="D3006" s="60" t="n"/>
    </row>
    <row r="3007">
      <c r="C3007" s="60" t="n"/>
      <c r="D3007" s="60" t="n"/>
    </row>
    <row r="3008">
      <c r="C3008" s="60" t="n"/>
      <c r="D3008" s="60" t="n"/>
    </row>
    <row r="3009">
      <c r="C3009" s="60" t="n"/>
      <c r="D3009" s="60" t="n"/>
    </row>
    <row r="3010">
      <c r="C3010" s="60" t="n"/>
      <c r="D3010" s="60" t="n"/>
    </row>
    <row r="3011">
      <c r="C3011" s="60" t="n"/>
      <c r="D3011" s="60" t="n"/>
    </row>
    <row r="3012">
      <c r="C3012" s="60" t="n"/>
      <c r="D3012" s="60" t="n"/>
    </row>
    <row r="3013">
      <c r="C3013" s="60" t="n"/>
      <c r="D3013" s="60" t="n"/>
    </row>
    <row r="3014">
      <c r="C3014" s="60" t="n"/>
      <c r="D3014" s="60" t="n"/>
    </row>
    <row r="3015">
      <c r="C3015" s="60" t="n"/>
      <c r="D3015" s="60" t="n"/>
    </row>
    <row r="3016">
      <c r="C3016" s="60" t="n"/>
      <c r="D3016" s="60" t="n"/>
    </row>
    <row r="3017">
      <c r="C3017" s="60" t="n"/>
      <c r="D3017" s="60" t="n"/>
    </row>
    <row r="3018">
      <c r="C3018" s="60" t="n"/>
      <c r="D3018" s="60" t="n"/>
    </row>
    <row r="3019">
      <c r="C3019" s="60" t="n"/>
      <c r="D3019" s="60" t="n"/>
    </row>
    <row r="3020">
      <c r="C3020" s="60" t="n"/>
      <c r="D3020" s="60" t="n"/>
    </row>
    <row r="3021">
      <c r="C3021" s="60" t="n"/>
      <c r="D3021" s="60" t="n"/>
    </row>
    <row r="3022">
      <c r="C3022" s="60" t="n"/>
      <c r="D3022" s="60" t="n"/>
    </row>
    <row r="3023">
      <c r="C3023" s="60" t="n"/>
      <c r="D3023" s="60" t="n"/>
    </row>
    <row r="3024">
      <c r="C3024" s="60" t="n"/>
      <c r="D3024" s="60" t="n"/>
    </row>
    <row r="3025">
      <c r="C3025" s="60" t="n"/>
      <c r="D3025" s="60" t="n"/>
    </row>
    <row r="3026">
      <c r="C3026" s="60" t="n"/>
      <c r="D3026" s="60" t="n"/>
    </row>
    <row r="3027">
      <c r="C3027" s="60" t="n"/>
      <c r="D3027" s="60" t="n"/>
    </row>
    <row r="3028">
      <c r="C3028" s="60" t="n"/>
      <c r="D3028" s="60" t="n"/>
    </row>
    <row r="3029">
      <c r="C3029" s="60" t="n"/>
      <c r="D3029" s="60" t="n"/>
    </row>
    <row r="3030">
      <c r="C3030" s="60" t="n"/>
      <c r="D3030" s="60" t="n"/>
    </row>
    <row r="3031">
      <c r="C3031" s="60" t="n"/>
      <c r="D3031" s="60" t="n"/>
    </row>
    <row r="3032">
      <c r="C3032" s="60" t="n"/>
      <c r="D3032" s="60" t="n"/>
    </row>
    <row r="3033">
      <c r="C3033" s="60" t="n"/>
      <c r="D3033" s="60" t="n"/>
    </row>
    <row r="3034">
      <c r="C3034" s="60" t="n"/>
      <c r="D3034" s="60" t="n"/>
    </row>
    <row r="3035">
      <c r="C3035" s="60" t="n"/>
      <c r="D3035" s="60" t="n"/>
    </row>
    <row r="3036">
      <c r="C3036" s="60" t="n"/>
      <c r="D3036" s="60" t="n"/>
    </row>
    <row r="3037">
      <c r="C3037" s="60" t="n"/>
      <c r="D3037" s="60" t="n"/>
    </row>
    <row r="3038">
      <c r="C3038" s="60" t="n"/>
      <c r="D3038" s="60" t="n"/>
    </row>
    <row r="3039">
      <c r="C3039" s="60" t="n"/>
      <c r="D3039" s="60" t="n"/>
    </row>
    <row r="3040">
      <c r="C3040" s="60" t="n"/>
      <c r="D3040" s="60" t="n"/>
    </row>
    <row r="3041">
      <c r="C3041" s="60" t="n"/>
      <c r="D3041" s="60" t="n"/>
    </row>
    <row r="3042">
      <c r="C3042" s="60" t="n"/>
      <c r="D3042" s="60" t="n"/>
    </row>
    <row r="3043">
      <c r="C3043" s="60" t="n"/>
      <c r="D3043" s="60" t="n"/>
    </row>
    <row r="3044">
      <c r="C3044" s="60" t="n"/>
      <c r="D3044" s="60" t="n"/>
    </row>
    <row r="3045">
      <c r="C3045" s="60" t="n"/>
      <c r="D3045" s="60" t="n"/>
    </row>
    <row r="3046">
      <c r="C3046" s="60" t="n"/>
      <c r="D3046" s="60" t="n"/>
    </row>
    <row r="3047">
      <c r="C3047" s="60" t="n"/>
      <c r="D3047" s="60" t="n"/>
    </row>
    <row r="3048">
      <c r="C3048" s="60" t="n"/>
      <c r="D3048" s="60" t="n"/>
    </row>
    <row r="3049">
      <c r="C3049" s="60" t="n"/>
      <c r="D3049" s="60" t="n"/>
    </row>
    <row r="3050">
      <c r="C3050" s="60" t="n"/>
      <c r="D3050" s="60" t="n"/>
    </row>
    <row r="3051">
      <c r="C3051" s="60" t="n"/>
      <c r="D3051" s="60" t="n"/>
    </row>
    <row r="3052">
      <c r="C3052" s="60" t="n"/>
      <c r="D3052" s="60" t="n"/>
    </row>
    <row r="3053">
      <c r="C3053" s="60" t="n"/>
      <c r="D3053" s="60" t="n"/>
    </row>
    <row r="3054">
      <c r="C3054" s="60" t="n"/>
      <c r="D3054" s="60" t="n"/>
    </row>
    <row r="3055">
      <c r="C3055" s="60" t="n"/>
      <c r="D3055" s="60" t="n"/>
    </row>
    <row r="3056">
      <c r="C3056" s="60" t="n"/>
      <c r="D3056" s="60" t="n"/>
    </row>
    <row r="3057">
      <c r="C3057" s="60" t="n"/>
      <c r="D3057" s="60" t="n"/>
    </row>
    <row r="3058">
      <c r="C3058" s="60" t="n"/>
      <c r="D3058" s="60" t="n"/>
    </row>
    <row r="3059">
      <c r="C3059" s="60" t="n"/>
      <c r="D3059" s="60" t="n"/>
    </row>
    <row r="3060">
      <c r="C3060" s="60" t="n"/>
      <c r="D3060" s="60" t="n"/>
    </row>
    <row r="3061">
      <c r="C3061" s="60" t="n"/>
      <c r="D3061" s="60" t="n"/>
    </row>
    <row r="3062">
      <c r="C3062" s="60" t="n"/>
      <c r="D3062" s="60" t="n"/>
    </row>
    <row r="3063">
      <c r="C3063" s="60" t="n"/>
      <c r="D3063" s="60" t="n"/>
    </row>
    <row r="3064">
      <c r="C3064" s="60" t="n"/>
      <c r="D3064" s="60" t="n"/>
    </row>
    <row r="3065">
      <c r="C3065" s="60" t="n"/>
      <c r="D3065" s="60" t="n"/>
    </row>
    <row r="3066">
      <c r="C3066" s="60" t="n"/>
      <c r="D3066" s="60" t="n"/>
    </row>
    <row r="3067">
      <c r="C3067" s="60" t="n"/>
      <c r="D3067" s="60" t="n"/>
    </row>
    <row r="3068">
      <c r="C3068" s="60" t="n"/>
      <c r="D3068" s="60" t="n"/>
    </row>
    <row r="3069">
      <c r="C3069" s="60" t="n"/>
      <c r="D3069" s="60" t="n"/>
    </row>
    <row r="3070">
      <c r="C3070" s="60" t="n"/>
      <c r="D3070" s="60" t="n"/>
    </row>
    <row r="3071">
      <c r="C3071" s="60" t="n"/>
      <c r="D3071" s="60" t="n"/>
    </row>
    <row r="3072">
      <c r="C3072" s="60" t="n"/>
      <c r="D3072" s="60" t="n"/>
    </row>
    <row r="3073">
      <c r="C3073" s="60" t="n"/>
      <c r="D3073" s="60" t="n"/>
    </row>
    <row r="3074">
      <c r="C3074" s="60" t="n"/>
      <c r="D3074" s="60" t="n"/>
    </row>
    <row r="3075">
      <c r="C3075" s="60" t="n"/>
      <c r="D3075" s="60" t="n"/>
    </row>
    <row r="3076">
      <c r="C3076" s="60" t="n"/>
      <c r="D3076" s="60" t="n"/>
    </row>
    <row r="3077">
      <c r="C3077" s="60" t="n"/>
      <c r="D3077" s="60" t="n"/>
    </row>
    <row r="3078">
      <c r="C3078" s="60" t="n"/>
      <c r="D3078" s="60" t="n"/>
    </row>
    <row r="3079">
      <c r="C3079" s="60" t="n"/>
      <c r="D3079" s="60" t="n"/>
    </row>
    <row r="3080">
      <c r="C3080" s="60" t="n"/>
      <c r="D3080" s="60" t="n"/>
    </row>
    <row r="3081">
      <c r="C3081" s="60" t="n"/>
      <c r="D3081" s="60" t="n"/>
    </row>
    <row r="3082">
      <c r="C3082" s="60" t="n"/>
      <c r="D3082" s="60" t="n"/>
    </row>
    <row r="3083">
      <c r="C3083" s="60" t="n"/>
      <c r="D3083" s="60" t="n"/>
    </row>
    <row r="3084">
      <c r="C3084" s="60" t="n"/>
      <c r="D3084" s="60" t="n"/>
    </row>
    <row r="3085">
      <c r="C3085" s="60" t="n"/>
      <c r="D3085" s="60" t="n"/>
    </row>
    <row r="3086">
      <c r="C3086" s="60" t="n"/>
      <c r="D3086" s="60" t="n"/>
    </row>
    <row r="3087">
      <c r="C3087" s="60" t="n"/>
      <c r="D3087" s="60" t="n"/>
    </row>
    <row r="3088">
      <c r="C3088" s="60" t="n"/>
      <c r="D3088" s="60" t="n"/>
    </row>
    <row r="3089">
      <c r="C3089" s="60" t="n"/>
      <c r="D3089" s="60" t="n"/>
    </row>
    <row r="3090">
      <c r="C3090" s="60" t="n"/>
      <c r="D3090" s="60" t="n"/>
    </row>
    <row r="3091">
      <c r="C3091" s="60" t="n"/>
      <c r="D3091" s="60" t="n"/>
    </row>
    <row r="3092">
      <c r="C3092" s="60" t="n"/>
      <c r="D3092" s="60" t="n"/>
    </row>
    <row r="3093">
      <c r="C3093" s="60" t="n"/>
      <c r="D3093" s="60" t="n"/>
    </row>
    <row r="3094">
      <c r="C3094" s="60" t="n"/>
      <c r="D3094" s="60" t="n"/>
    </row>
    <row r="3095">
      <c r="C3095" s="60" t="n"/>
      <c r="D3095" s="60" t="n"/>
    </row>
    <row r="3096">
      <c r="C3096" s="60" t="n"/>
      <c r="D3096" s="60" t="n"/>
    </row>
    <row r="3097">
      <c r="C3097" s="60" t="n"/>
      <c r="D3097" s="60" t="n"/>
    </row>
    <row r="3098">
      <c r="C3098" s="60" t="n"/>
      <c r="D3098" s="60" t="n"/>
    </row>
    <row r="3099">
      <c r="C3099" s="60" t="n"/>
      <c r="D3099" s="60" t="n"/>
    </row>
    <row r="3100">
      <c r="C3100" s="60" t="n"/>
      <c r="D3100" s="60" t="n"/>
    </row>
    <row r="3101">
      <c r="C3101" s="60" t="n"/>
      <c r="D3101" s="60" t="n"/>
    </row>
    <row r="3102">
      <c r="C3102" s="60" t="n"/>
      <c r="D3102" s="60" t="n"/>
    </row>
    <row r="3103">
      <c r="C3103" s="60" t="n"/>
      <c r="D3103" s="60" t="n"/>
    </row>
    <row r="3104">
      <c r="C3104" s="60" t="n"/>
      <c r="D3104" s="60" t="n"/>
    </row>
    <row r="3105">
      <c r="C3105" s="60" t="n"/>
      <c r="D3105" s="60" t="n"/>
    </row>
    <row r="3106">
      <c r="C3106" s="60" t="n"/>
      <c r="D3106" s="60" t="n"/>
    </row>
    <row r="3107">
      <c r="C3107" s="60" t="n"/>
      <c r="D3107" s="60" t="n"/>
    </row>
    <row r="3108">
      <c r="C3108" s="60" t="n"/>
      <c r="D3108" s="60" t="n"/>
    </row>
    <row r="3109">
      <c r="C3109" s="60" t="n"/>
      <c r="D3109" s="60" t="n"/>
    </row>
    <row r="3110">
      <c r="C3110" s="60" t="n"/>
      <c r="D3110" s="60" t="n"/>
    </row>
    <row r="3111">
      <c r="C3111" s="60" t="n"/>
      <c r="D3111" s="60" t="n"/>
    </row>
    <row r="3112">
      <c r="C3112" s="60" t="n"/>
      <c r="D3112" s="60" t="n"/>
    </row>
    <row r="3113">
      <c r="C3113" s="60" t="n"/>
      <c r="D3113" s="60" t="n"/>
    </row>
    <row r="3114">
      <c r="C3114" s="60" t="n"/>
      <c r="D3114" s="60" t="n"/>
    </row>
    <row r="3115">
      <c r="C3115" s="60" t="n"/>
      <c r="D3115" s="60" t="n"/>
    </row>
    <row r="3116">
      <c r="C3116" s="60" t="n"/>
      <c r="D3116" s="60" t="n"/>
    </row>
    <row r="3117">
      <c r="C3117" s="60" t="n"/>
      <c r="D3117" s="60" t="n"/>
    </row>
    <row r="3118">
      <c r="C3118" s="60" t="n"/>
      <c r="D3118" s="60" t="n"/>
    </row>
    <row r="3119">
      <c r="C3119" s="60" t="n"/>
      <c r="D3119" s="60" t="n"/>
    </row>
    <row r="3120">
      <c r="C3120" s="60" t="n"/>
      <c r="D3120" s="60" t="n"/>
    </row>
    <row r="3121">
      <c r="C3121" s="60" t="n"/>
      <c r="D3121" s="60" t="n"/>
    </row>
    <row r="3122">
      <c r="C3122" s="60" t="n"/>
      <c r="D3122" s="60" t="n"/>
    </row>
    <row r="3123">
      <c r="C3123" s="60" t="n"/>
      <c r="D3123" s="60" t="n"/>
    </row>
    <row r="3124">
      <c r="C3124" s="60" t="n"/>
      <c r="D3124" s="60" t="n"/>
    </row>
    <row r="3125">
      <c r="C3125" s="60" t="n"/>
      <c r="D3125" s="60" t="n"/>
    </row>
    <row r="3126">
      <c r="C3126" s="60" t="n"/>
      <c r="D3126" s="60" t="n"/>
    </row>
    <row r="3127">
      <c r="C3127" s="60" t="n"/>
      <c r="D3127" s="60" t="n"/>
    </row>
    <row r="3128">
      <c r="C3128" s="60" t="n"/>
      <c r="D3128" s="60" t="n"/>
    </row>
    <row r="3129">
      <c r="C3129" s="60" t="n"/>
      <c r="D3129" s="60" t="n"/>
    </row>
    <row r="3130">
      <c r="C3130" s="60" t="n"/>
      <c r="D3130" s="60" t="n"/>
    </row>
    <row r="3131">
      <c r="C3131" s="60" t="n"/>
      <c r="D3131" s="60" t="n"/>
    </row>
    <row r="3132">
      <c r="C3132" s="60" t="n"/>
      <c r="D3132" s="60" t="n"/>
    </row>
    <row r="3133">
      <c r="C3133" s="60" t="n"/>
      <c r="D3133" s="60" t="n"/>
    </row>
    <row r="3134">
      <c r="C3134" s="60" t="n"/>
      <c r="D3134" s="60" t="n"/>
    </row>
    <row r="3135">
      <c r="C3135" s="60" t="n"/>
      <c r="D3135" s="60" t="n"/>
    </row>
    <row r="3136">
      <c r="C3136" s="60" t="n"/>
      <c r="D3136" s="60" t="n"/>
    </row>
    <row r="3137">
      <c r="C3137" s="60" t="n"/>
      <c r="D3137" s="60" t="n"/>
    </row>
    <row r="3138">
      <c r="C3138" s="60" t="n"/>
      <c r="D3138" s="60" t="n"/>
    </row>
    <row r="3139">
      <c r="C3139" s="60" t="n"/>
      <c r="D3139" s="60" t="n"/>
    </row>
    <row r="3140">
      <c r="C3140" s="60" t="n"/>
      <c r="D3140" s="60" t="n"/>
    </row>
    <row r="3141">
      <c r="C3141" s="60" t="n"/>
      <c r="D3141" s="60" t="n"/>
    </row>
    <row r="3142">
      <c r="C3142" s="60" t="n"/>
      <c r="D3142" s="60" t="n"/>
    </row>
    <row r="3143">
      <c r="C3143" s="60" t="n"/>
      <c r="D3143" s="60" t="n"/>
    </row>
    <row r="3144">
      <c r="C3144" s="60" t="n"/>
      <c r="D3144" s="60" t="n"/>
    </row>
    <row r="3145">
      <c r="C3145" s="60" t="n"/>
      <c r="D3145" s="60" t="n"/>
    </row>
    <row r="3146">
      <c r="C3146" s="60" t="n"/>
      <c r="D3146" s="60" t="n"/>
    </row>
    <row r="3147">
      <c r="C3147" s="60" t="n"/>
      <c r="D3147" s="60" t="n"/>
    </row>
    <row r="3148">
      <c r="C3148" s="60" t="n"/>
      <c r="D3148" s="60" t="n"/>
    </row>
    <row r="3149">
      <c r="C3149" s="60" t="n"/>
      <c r="D3149" s="60" t="n"/>
    </row>
    <row r="3150">
      <c r="C3150" s="60" t="n"/>
      <c r="D3150" s="60" t="n"/>
    </row>
    <row r="3151">
      <c r="C3151" s="60" t="n"/>
      <c r="D3151" s="60" t="n"/>
    </row>
    <row r="3152">
      <c r="C3152" s="60" t="n"/>
      <c r="D3152" s="60" t="n"/>
    </row>
    <row r="3153">
      <c r="C3153" s="60" t="n"/>
      <c r="D3153" s="60" t="n"/>
    </row>
    <row r="3154">
      <c r="C3154" s="60" t="n"/>
      <c r="D3154" s="60" t="n"/>
    </row>
    <row r="3155">
      <c r="C3155" s="60" t="n"/>
      <c r="D3155" s="60" t="n"/>
    </row>
    <row r="3156">
      <c r="C3156" s="60" t="n"/>
      <c r="D3156" s="60" t="n"/>
    </row>
    <row r="3157">
      <c r="C3157" s="60" t="n"/>
      <c r="D3157" s="60" t="n"/>
    </row>
    <row r="3158">
      <c r="C3158" s="60" t="n"/>
      <c r="D3158" s="60" t="n"/>
    </row>
    <row r="3159">
      <c r="C3159" s="60" t="n"/>
      <c r="D3159" s="60" t="n"/>
    </row>
    <row r="3160">
      <c r="C3160" s="60" t="n"/>
      <c r="D3160" s="60" t="n"/>
    </row>
    <row r="3161">
      <c r="C3161" s="60" t="n"/>
      <c r="D3161" s="60" t="n"/>
    </row>
    <row r="3162">
      <c r="C3162" s="60" t="n"/>
      <c r="D3162" s="60" t="n"/>
    </row>
    <row r="3163">
      <c r="C3163" s="60" t="n"/>
      <c r="D3163" s="60" t="n"/>
    </row>
    <row r="3164">
      <c r="C3164" s="60" t="n"/>
      <c r="D3164" s="60" t="n"/>
    </row>
    <row r="3165">
      <c r="C3165" s="60" t="n"/>
      <c r="D3165" s="60" t="n"/>
    </row>
    <row r="3166">
      <c r="C3166" s="60" t="n"/>
      <c r="D3166" s="60" t="n"/>
    </row>
    <row r="3167">
      <c r="C3167" s="60" t="n"/>
      <c r="D3167" s="60" t="n"/>
    </row>
    <row r="3168">
      <c r="C3168" s="60" t="n"/>
      <c r="D3168" s="60" t="n"/>
    </row>
    <row r="3169">
      <c r="C3169" s="60" t="n"/>
      <c r="D3169" s="60" t="n"/>
    </row>
    <row r="3170">
      <c r="C3170" s="60" t="n"/>
      <c r="D3170" s="60" t="n"/>
    </row>
    <row r="3171">
      <c r="C3171" s="60" t="n"/>
      <c r="D3171" s="60" t="n"/>
    </row>
    <row r="3172">
      <c r="C3172" s="60" t="n"/>
      <c r="D3172" s="60" t="n"/>
    </row>
    <row r="3173">
      <c r="C3173" s="60" t="n"/>
      <c r="D3173" s="60" t="n"/>
    </row>
    <row r="3174">
      <c r="C3174" s="60" t="n"/>
      <c r="D3174" s="60" t="n"/>
    </row>
    <row r="3175">
      <c r="C3175" s="60" t="n"/>
      <c r="D3175" s="60" t="n"/>
    </row>
    <row r="3176">
      <c r="C3176" s="60" t="n"/>
      <c r="D3176" s="60" t="n"/>
    </row>
    <row r="3177">
      <c r="C3177" s="60" t="n"/>
      <c r="D3177" s="60" t="n"/>
    </row>
    <row r="3178">
      <c r="C3178" s="60" t="n"/>
      <c r="D3178" s="60" t="n"/>
    </row>
    <row r="3179">
      <c r="C3179" s="60" t="n"/>
      <c r="D3179" s="60" t="n"/>
    </row>
    <row r="3180">
      <c r="C3180" s="60" t="n"/>
      <c r="D3180" s="60" t="n"/>
    </row>
    <row r="3181">
      <c r="C3181" s="60" t="n"/>
      <c r="D3181" s="60" t="n"/>
    </row>
    <row r="3182">
      <c r="C3182" s="60" t="n"/>
      <c r="D3182" s="60" t="n"/>
    </row>
    <row r="3183">
      <c r="C3183" s="60" t="n"/>
      <c r="D3183" s="60" t="n"/>
    </row>
    <row r="3184">
      <c r="C3184" s="60" t="n"/>
      <c r="D3184" s="60" t="n"/>
    </row>
    <row r="3185">
      <c r="C3185" s="60" t="n"/>
      <c r="D3185" s="60" t="n"/>
    </row>
    <row r="3186">
      <c r="C3186" s="60" t="n"/>
      <c r="D3186" s="60" t="n"/>
    </row>
    <row r="3187">
      <c r="C3187" s="60" t="n"/>
      <c r="D3187" s="60" t="n"/>
    </row>
    <row r="3188">
      <c r="C3188" s="60" t="n"/>
      <c r="D3188" s="60" t="n"/>
    </row>
    <row r="3189">
      <c r="C3189" s="60" t="n"/>
      <c r="D3189" s="60" t="n"/>
    </row>
    <row r="3190">
      <c r="C3190" s="60" t="n"/>
      <c r="D3190" s="60" t="n"/>
    </row>
    <row r="3191">
      <c r="C3191" s="60" t="n"/>
      <c r="D3191" s="60" t="n"/>
    </row>
    <row r="3192">
      <c r="C3192" s="60" t="n"/>
      <c r="D3192" s="60" t="n"/>
    </row>
    <row r="3193">
      <c r="C3193" s="60" t="n"/>
      <c r="D3193" s="60" t="n"/>
    </row>
    <row r="3194">
      <c r="C3194" s="60" t="n"/>
      <c r="D3194" s="60" t="n"/>
    </row>
    <row r="3195">
      <c r="C3195" s="60" t="n"/>
      <c r="D3195" s="60" t="n"/>
    </row>
    <row r="3196">
      <c r="C3196" s="60" t="n"/>
      <c r="D3196" s="60" t="n"/>
    </row>
    <row r="3197">
      <c r="C3197" s="60" t="n"/>
      <c r="D3197" s="60" t="n"/>
    </row>
    <row r="3198">
      <c r="C3198" s="60" t="n"/>
      <c r="D3198" s="60" t="n"/>
    </row>
    <row r="3199">
      <c r="C3199" s="60" t="n"/>
      <c r="D3199" s="60" t="n"/>
    </row>
    <row r="3200">
      <c r="C3200" s="60" t="n"/>
      <c r="D3200" s="60" t="n"/>
    </row>
    <row r="3201">
      <c r="C3201" s="60" t="n"/>
      <c r="D3201" s="60" t="n"/>
    </row>
    <row r="3202">
      <c r="C3202" s="60" t="n"/>
      <c r="D3202" s="60" t="n"/>
    </row>
    <row r="3203">
      <c r="C3203" s="60" t="n"/>
      <c r="D3203" s="60" t="n"/>
    </row>
    <row r="3204">
      <c r="C3204" s="60" t="n"/>
      <c r="D3204" s="60" t="n"/>
    </row>
    <row r="3205">
      <c r="C3205" s="60" t="n"/>
      <c r="D3205" s="60" t="n"/>
    </row>
    <row r="3206">
      <c r="C3206" s="60" t="n"/>
      <c r="D3206" s="60" t="n"/>
    </row>
    <row r="3207">
      <c r="C3207" s="60" t="n"/>
      <c r="D3207" s="60" t="n"/>
    </row>
    <row r="3208">
      <c r="C3208" s="60" t="n"/>
      <c r="D3208" s="60" t="n"/>
    </row>
    <row r="3209">
      <c r="C3209" s="60" t="n"/>
      <c r="D3209" s="60" t="n"/>
    </row>
    <row r="3210">
      <c r="C3210" s="60" t="n"/>
      <c r="D3210" s="60" t="n"/>
    </row>
    <row r="3211">
      <c r="C3211" s="60" t="n"/>
      <c r="D3211" s="60" t="n"/>
    </row>
    <row r="3212">
      <c r="C3212" s="60" t="n"/>
      <c r="D3212" s="60" t="n"/>
    </row>
    <row r="3213">
      <c r="C3213" s="60" t="n"/>
      <c r="D3213" s="60" t="n"/>
    </row>
    <row r="3214">
      <c r="C3214" s="60" t="n"/>
      <c r="D3214" s="60" t="n"/>
    </row>
    <row r="3215">
      <c r="C3215" s="60" t="n"/>
      <c r="D3215" s="60" t="n"/>
    </row>
    <row r="3216">
      <c r="C3216" s="60" t="n"/>
      <c r="D3216" s="60" t="n"/>
    </row>
    <row r="3217">
      <c r="C3217" s="60" t="n"/>
      <c r="D3217" s="60" t="n"/>
    </row>
    <row r="3218">
      <c r="C3218" s="60" t="n"/>
      <c r="D3218" s="60" t="n"/>
    </row>
    <row r="3219">
      <c r="C3219" s="60" t="n"/>
      <c r="D3219" s="60" t="n"/>
    </row>
    <row r="3220">
      <c r="C3220" s="60" t="n"/>
      <c r="D3220" s="60" t="n"/>
    </row>
    <row r="3221">
      <c r="C3221" s="60" t="n"/>
      <c r="D3221" s="60" t="n"/>
    </row>
    <row r="3222">
      <c r="C3222" s="60" t="n"/>
      <c r="D3222" s="60" t="n"/>
    </row>
    <row r="3223">
      <c r="C3223" s="60" t="n"/>
      <c r="D3223" s="60" t="n"/>
    </row>
    <row r="3224">
      <c r="C3224" s="60" t="n"/>
      <c r="D3224" s="60" t="n"/>
    </row>
    <row r="3225">
      <c r="C3225" s="60" t="n"/>
      <c r="D3225" s="60" t="n"/>
    </row>
    <row r="3226">
      <c r="C3226" s="60" t="n"/>
      <c r="D3226" s="60" t="n"/>
    </row>
    <row r="3227">
      <c r="C3227" s="60" t="n"/>
      <c r="D3227" s="60" t="n"/>
    </row>
    <row r="3228">
      <c r="C3228" s="60" t="n"/>
      <c r="D3228" s="60" t="n"/>
    </row>
    <row r="3229">
      <c r="C3229" s="60" t="n"/>
      <c r="D3229" s="60" t="n"/>
    </row>
    <row r="3230">
      <c r="C3230" s="60" t="n"/>
      <c r="D3230" s="60" t="n"/>
    </row>
    <row r="3231">
      <c r="C3231" s="60" t="n"/>
      <c r="D3231" s="60" t="n"/>
    </row>
    <row r="3232">
      <c r="C3232" s="60" t="n"/>
      <c r="D3232" s="60" t="n"/>
    </row>
    <row r="3233">
      <c r="C3233" s="60" t="n"/>
      <c r="D3233" s="60" t="n"/>
    </row>
    <row r="3234">
      <c r="C3234" s="60" t="n"/>
      <c r="D3234" s="60" t="n"/>
    </row>
    <row r="3235">
      <c r="C3235" s="60" t="n"/>
      <c r="D3235" s="60" t="n"/>
    </row>
    <row r="3236">
      <c r="C3236" s="60" t="n"/>
      <c r="D3236" s="60" t="n"/>
    </row>
    <row r="3237">
      <c r="C3237" s="60" t="n"/>
      <c r="D3237" s="60" t="n"/>
    </row>
    <row r="3238">
      <c r="C3238" s="60" t="n"/>
      <c r="D3238" s="60" t="n"/>
    </row>
    <row r="3239">
      <c r="C3239" s="60" t="n"/>
      <c r="D3239" s="60" t="n"/>
    </row>
    <row r="3240">
      <c r="C3240" s="60" t="n"/>
      <c r="D3240" s="60" t="n"/>
    </row>
    <row r="3241">
      <c r="C3241" s="60" t="n"/>
      <c r="D3241" s="60" t="n"/>
    </row>
    <row r="3242">
      <c r="C3242" s="60" t="n"/>
      <c r="D3242" s="60" t="n"/>
    </row>
    <row r="3243">
      <c r="C3243" s="60" t="n"/>
      <c r="D3243" s="60" t="n"/>
    </row>
    <row r="3244">
      <c r="C3244" s="60" t="n"/>
      <c r="D3244" s="60" t="n"/>
    </row>
    <row r="3245">
      <c r="C3245" s="60" t="n"/>
      <c r="D3245" s="60" t="n"/>
    </row>
    <row r="3246">
      <c r="C3246" s="60" t="n"/>
      <c r="D3246" s="60" t="n"/>
    </row>
    <row r="3247">
      <c r="C3247" s="60" t="n"/>
      <c r="D3247" s="60" t="n"/>
    </row>
    <row r="3248">
      <c r="C3248" s="60" t="n"/>
      <c r="D3248" s="60" t="n"/>
    </row>
    <row r="3249">
      <c r="C3249" s="60" t="n"/>
      <c r="D3249" s="60" t="n"/>
    </row>
    <row r="3250">
      <c r="C3250" s="60" t="n"/>
      <c r="D3250" s="60" t="n"/>
    </row>
    <row r="3251">
      <c r="C3251" s="60" t="n"/>
      <c r="D3251" s="60" t="n"/>
    </row>
    <row r="3252">
      <c r="C3252" s="60" t="n"/>
      <c r="D3252" s="60" t="n"/>
    </row>
    <row r="3253">
      <c r="C3253" s="60" t="n"/>
      <c r="D3253" s="60" t="n"/>
    </row>
    <row r="3254">
      <c r="C3254" s="60" t="n"/>
      <c r="D3254" s="60" t="n"/>
    </row>
    <row r="3255">
      <c r="C3255" s="60" t="n"/>
      <c r="D3255" s="60" t="n"/>
    </row>
    <row r="3256">
      <c r="C3256" s="60" t="n"/>
      <c r="D3256" s="60" t="n"/>
    </row>
    <row r="3257">
      <c r="C3257" s="60" t="n"/>
      <c r="D3257" s="60" t="n"/>
    </row>
    <row r="3258">
      <c r="C3258" s="60" t="n"/>
      <c r="D3258" s="60" t="n"/>
    </row>
    <row r="3259">
      <c r="C3259" s="60" t="n"/>
      <c r="D3259" s="60" t="n"/>
    </row>
    <row r="3260">
      <c r="C3260" s="60" t="n"/>
      <c r="D3260" s="60" t="n"/>
    </row>
    <row r="3261">
      <c r="C3261" s="60" t="n"/>
      <c r="D3261" s="60" t="n"/>
    </row>
    <row r="3262">
      <c r="C3262" s="60" t="n"/>
      <c r="D3262" s="60" t="n"/>
    </row>
    <row r="3263">
      <c r="C3263" s="60" t="n"/>
      <c r="D3263" s="60" t="n"/>
    </row>
    <row r="3264">
      <c r="C3264" s="60" t="n"/>
      <c r="D3264" s="60" t="n"/>
    </row>
    <row r="3265">
      <c r="C3265" s="60" t="n"/>
      <c r="D3265" s="60" t="n"/>
    </row>
    <row r="3266">
      <c r="C3266" s="60" t="n"/>
      <c r="D3266" s="60" t="n"/>
    </row>
    <row r="3267">
      <c r="C3267" s="60" t="n"/>
      <c r="D3267" s="60" t="n"/>
    </row>
    <row r="3268">
      <c r="C3268" s="60" t="n"/>
      <c r="D3268" s="60" t="n"/>
    </row>
    <row r="3269">
      <c r="C3269" s="60" t="n"/>
      <c r="D3269" s="60" t="n"/>
    </row>
    <row r="3270">
      <c r="C3270" s="60" t="n"/>
      <c r="D3270" s="60" t="n"/>
    </row>
    <row r="3271">
      <c r="C3271" s="60" t="n"/>
      <c r="D3271" s="60" t="n"/>
    </row>
    <row r="3272">
      <c r="C3272" s="60" t="n"/>
      <c r="D3272" s="60" t="n"/>
    </row>
    <row r="3273">
      <c r="C3273" s="60" t="n"/>
      <c r="D3273" s="60" t="n"/>
    </row>
    <row r="3274">
      <c r="C3274" s="60" t="n"/>
      <c r="D3274" s="60" t="n"/>
    </row>
    <row r="3275">
      <c r="C3275" s="60" t="n"/>
      <c r="D3275" s="60" t="n"/>
    </row>
    <row r="3276">
      <c r="C3276" s="60" t="n"/>
      <c r="D3276" s="60" t="n"/>
    </row>
    <row r="3277">
      <c r="C3277" s="60" t="n"/>
      <c r="D3277" s="60" t="n"/>
    </row>
    <row r="3278">
      <c r="C3278" s="60" t="n"/>
      <c r="D3278" s="60" t="n"/>
    </row>
    <row r="3279">
      <c r="C3279" s="60" t="n"/>
      <c r="D3279" s="60" t="n"/>
    </row>
    <row r="3280">
      <c r="C3280" s="60" t="n"/>
      <c r="D3280" s="60" t="n"/>
    </row>
    <row r="3281">
      <c r="C3281" s="60" t="n"/>
      <c r="D3281" s="60" t="n"/>
    </row>
    <row r="3282">
      <c r="C3282" s="60" t="n"/>
      <c r="D3282" s="60" t="n"/>
    </row>
    <row r="3283">
      <c r="C3283" s="60" t="n"/>
      <c r="D3283" s="60" t="n"/>
    </row>
    <row r="3284">
      <c r="C3284" s="60" t="n"/>
      <c r="D3284" s="60" t="n"/>
    </row>
    <row r="3285">
      <c r="C3285" s="60" t="n"/>
      <c r="D3285" s="60" t="n"/>
    </row>
    <row r="3286">
      <c r="C3286" s="60" t="n"/>
      <c r="D3286" s="60" t="n"/>
    </row>
    <row r="3287">
      <c r="C3287" s="60" t="n"/>
      <c r="D3287" s="60" t="n"/>
    </row>
    <row r="3288">
      <c r="C3288" s="60" t="n"/>
      <c r="D3288" s="60" t="n"/>
    </row>
    <row r="3289">
      <c r="C3289" s="60" t="n"/>
      <c r="D3289" s="60" t="n"/>
    </row>
    <row r="3290">
      <c r="C3290" s="60" t="n"/>
      <c r="D3290" s="60" t="n"/>
    </row>
    <row r="3291">
      <c r="C3291" s="60" t="n"/>
      <c r="D3291" s="60" t="n"/>
    </row>
    <row r="3292">
      <c r="C3292" s="60" t="n"/>
      <c r="D3292" s="60" t="n"/>
    </row>
    <row r="3293">
      <c r="C3293" s="60" t="n"/>
      <c r="D3293" s="60" t="n"/>
    </row>
    <row r="3294">
      <c r="C3294" s="60" t="n"/>
      <c r="D3294" s="60" t="n"/>
    </row>
    <row r="3295">
      <c r="C3295" s="60" t="n"/>
      <c r="D3295" s="60" t="n"/>
    </row>
    <row r="3296">
      <c r="C3296" s="60" t="n"/>
      <c r="D3296" s="60" t="n"/>
    </row>
    <row r="3297">
      <c r="C3297" s="60" t="n"/>
      <c r="D3297" s="60" t="n"/>
    </row>
    <row r="3298">
      <c r="C3298" s="60" t="n"/>
      <c r="D3298" s="60" t="n"/>
    </row>
    <row r="3299">
      <c r="C3299" s="60" t="n"/>
      <c r="D3299" s="60" t="n"/>
    </row>
    <row r="3300">
      <c r="C3300" s="60" t="n"/>
      <c r="D3300" s="60" t="n"/>
    </row>
    <row r="3301">
      <c r="C3301" s="60" t="n"/>
      <c r="D3301" s="60" t="n"/>
    </row>
    <row r="3302">
      <c r="C3302" s="60" t="n"/>
      <c r="D3302" s="60" t="n"/>
    </row>
    <row r="3303">
      <c r="C3303" s="60" t="n"/>
      <c r="D3303" s="60" t="n"/>
    </row>
    <row r="3304">
      <c r="C3304" s="60" t="n"/>
      <c r="D3304" s="60" t="n"/>
    </row>
    <row r="3305">
      <c r="C3305" s="60" t="n"/>
      <c r="D3305" s="60" t="n"/>
    </row>
    <row r="3306">
      <c r="C3306" s="60" t="n"/>
      <c r="D3306" s="60" t="n"/>
    </row>
    <row r="3307">
      <c r="C3307" s="60" t="n"/>
      <c r="D3307" s="60" t="n"/>
    </row>
    <row r="3308">
      <c r="C3308" s="60" t="n"/>
      <c r="D3308" s="60" t="n"/>
    </row>
    <row r="3309">
      <c r="C3309" s="60" t="n"/>
      <c r="D3309" s="60" t="n"/>
    </row>
    <row r="3310">
      <c r="C3310" s="60" t="n"/>
      <c r="D3310" s="60" t="n"/>
    </row>
    <row r="3311">
      <c r="C3311" s="60" t="n"/>
      <c r="D3311" s="60" t="n"/>
    </row>
    <row r="3312">
      <c r="C3312" s="60" t="n"/>
      <c r="D3312" s="60" t="n"/>
    </row>
    <row r="3313">
      <c r="C3313" s="60" t="n"/>
      <c r="D3313" s="60" t="n"/>
    </row>
    <row r="3314">
      <c r="C3314" s="60" t="n"/>
      <c r="D3314" s="60" t="n"/>
    </row>
    <row r="3315">
      <c r="C3315" s="60" t="n"/>
      <c r="D3315" s="60" t="n"/>
    </row>
    <row r="3316">
      <c r="C3316" s="60" t="n"/>
      <c r="D3316" s="60" t="n"/>
    </row>
    <row r="3317">
      <c r="C3317" s="60" t="n"/>
      <c r="D3317" s="60" t="n"/>
    </row>
    <row r="3318">
      <c r="C3318" s="60" t="n"/>
      <c r="D3318" s="60" t="n"/>
    </row>
    <row r="3319">
      <c r="C3319" s="60" t="n"/>
      <c r="D3319" s="60" t="n"/>
    </row>
    <row r="3320">
      <c r="C3320" s="60" t="n"/>
      <c r="D3320" s="60" t="n"/>
    </row>
    <row r="3321">
      <c r="C3321" s="60" t="n"/>
      <c r="D3321" s="60" t="n"/>
    </row>
    <row r="3322">
      <c r="C3322" s="60" t="n"/>
      <c r="D3322" s="60" t="n"/>
    </row>
    <row r="3323">
      <c r="C3323" s="60" t="n"/>
      <c r="D3323" s="60" t="n"/>
    </row>
    <row r="3324">
      <c r="C3324" s="60" t="n"/>
      <c r="D3324" s="60" t="n"/>
    </row>
    <row r="3325">
      <c r="C3325" s="60" t="n"/>
      <c r="D3325" s="60" t="n"/>
    </row>
    <row r="3326">
      <c r="C3326" s="60" t="n"/>
      <c r="D3326" s="60" t="n"/>
    </row>
    <row r="3327">
      <c r="C3327" s="60" t="n"/>
      <c r="D3327" s="60" t="n"/>
    </row>
    <row r="3328">
      <c r="C3328" s="60" t="n"/>
      <c r="D3328" s="60" t="n"/>
    </row>
    <row r="3329">
      <c r="C3329" s="60" t="n"/>
      <c r="D3329" s="60" t="n"/>
    </row>
    <row r="3330">
      <c r="C3330" s="60" t="n"/>
      <c r="D3330" s="60" t="n"/>
    </row>
    <row r="3331">
      <c r="C3331" s="60" t="n"/>
      <c r="D3331" s="60" t="n"/>
    </row>
    <row r="3332">
      <c r="C3332" s="60" t="n"/>
      <c r="D3332" s="60" t="n"/>
    </row>
    <row r="3333">
      <c r="C3333" s="60" t="n"/>
      <c r="D3333" s="60" t="n"/>
    </row>
    <row r="3334">
      <c r="C3334" s="60" t="n"/>
      <c r="D3334" s="60" t="n"/>
    </row>
    <row r="3335">
      <c r="C3335" s="60" t="n"/>
      <c r="D3335" s="60" t="n"/>
    </row>
    <row r="3336">
      <c r="C3336" s="60" t="n"/>
      <c r="D3336" s="60" t="n"/>
    </row>
    <row r="3337">
      <c r="C3337" s="60" t="n"/>
      <c r="D3337" s="60" t="n"/>
    </row>
    <row r="3338">
      <c r="C3338" s="60" t="n"/>
      <c r="D3338" s="60" t="n"/>
    </row>
    <row r="3339">
      <c r="C3339" s="60" t="n"/>
      <c r="D3339" s="60" t="n"/>
    </row>
    <row r="3340">
      <c r="C3340" s="60" t="n"/>
      <c r="D3340" s="60" t="n"/>
    </row>
    <row r="3341">
      <c r="C3341" s="60" t="n"/>
      <c r="D3341" s="60" t="n"/>
    </row>
    <row r="3342">
      <c r="C3342" s="60" t="n"/>
      <c r="D3342" s="60" t="n"/>
    </row>
    <row r="3343">
      <c r="C3343" s="60" t="n"/>
      <c r="D3343" s="60" t="n"/>
    </row>
    <row r="3344">
      <c r="C3344" s="60" t="n"/>
      <c r="D3344" s="60" t="n"/>
    </row>
    <row r="3345">
      <c r="C3345" s="60" t="n"/>
      <c r="D3345" s="60" t="n"/>
    </row>
    <row r="3346">
      <c r="C3346" s="60" t="n"/>
      <c r="D3346" s="60" t="n"/>
    </row>
    <row r="3347">
      <c r="C3347" s="60" t="n"/>
      <c r="D3347" s="60" t="n"/>
    </row>
    <row r="3348">
      <c r="C3348" s="60" t="n"/>
      <c r="D3348" s="60" t="n"/>
    </row>
    <row r="3349">
      <c r="C3349" s="60" t="n"/>
      <c r="D3349" s="60" t="n"/>
    </row>
    <row r="3350">
      <c r="C3350" s="60" t="n"/>
      <c r="D3350" s="60" t="n"/>
    </row>
    <row r="3351">
      <c r="C3351" s="60" t="n"/>
      <c r="D3351" s="60" t="n"/>
    </row>
    <row r="3352">
      <c r="C3352" s="60" t="n"/>
      <c r="D3352" s="60" t="n"/>
    </row>
    <row r="3353">
      <c r="C3353" s="60" t="n"/>
      <c r="D3353" s="60" t="n"/>
    </row>
    <row r="3354">
      <c r="C3354" s="60" t="n"/>
      <c r="D3354" s="60" t="n"/>
    </row>
    <row r="3355">
      <c r="C3355" s="60" t="n"/>
      <c r="D3355" s="60" t="n"/>
    </row>
    <row r="3356">
      <c r="C3356" s="60" t="n"/>
      <c r="D3356" s="60" t="n"/>
    </row>
    <row r="3357">
      <c r="C3357" s="60" t="n"/>
      <c r="D3357" s="60" t="n"/>
    </row>
    <row r="3358">
      <c r="C3358" s="60" t="n"/>
      <c r="D3358" s="60" t="n"/>
    </row>
    <row r="3359">
      <c r="C3359" s="60" t="n"/>
      <c r="D3359" s="60" t="n"/>
    </row>
    <row r="3360">
      <c r="C3360" s="60" t="n"/>
      <c r="D3360" s="60" t="n"/>
    </row>
    <row r="3361">
      <c r="C3361" s="60" t="n"/>
      <c r="D3361" s="60" t="n"/>
    </row>
    <row r="3362">
      <c r="C3362" s="60" t="n"/>
      <c r="D3362" s="60" t="n"/>
    </row>
    <row r="3363">
      <c r="C3363" s="60" t="n"/>
      <c r="D3363" s="60" t="n"/>
    </row>
    <row r="3364">
      <c r="C3364" s="60" t="n"/>
      <c r="D3364" s="60" t="n"/>
    </row>
    <row r="3365">
      <c r="C3365" s="60" t="n"/>
      <c r="D3365" s="60" t="n"/>
    </row>
    <row r="3366">
      <c r="C3366" s="60" t="n"/>
      <c r="D3366" s="60" t="n"/>
    </row>
    <row r="3367">
      <c r="C3367" s="60" t="n"/>
      <c r="D3367" s="60" t="n"/>
    </row>
    <row r="3368">
      <c r="C3368" s="60" t="n"/>
      <c r="D3368" s="60" t="n"/>
    </row>
    <row r="3369">
      <c r="C3369" s="60" t="n"/>
      <c r="D3369" s="60" t="n"/>
    </row>
    <row r="3370">
      <c r="C3370" s="60" t="n"/>
      <c r="D3370" s="60" t="n"/>
    </row>
    <row r="3371">
      <c r="C3371" s="60" t="n"/>
      <c r="D3371" s="60" t="n"/>
    </row>
    <row r="3372">
      <c r="C3372" s="60" t="n"/>
      <c r="D3372" s="60" t="n"/>
    </row>
    <row r="3373">
      <c r="C3373" s="60" t="n"/>
      <c r="D3373" s="60" t="n"/>
    </row>
    <row r="3374">
      <c r="C3374" s="60" t="n"/>
      <c r="D3374" s="60" t="n"/>
    </row>
    <row r="3375">
      <c r="C3375" s="60" t="n"/>
      <c r="D3375" s="60" t="n"/>
    </row>
    <row r="3376">
      <c r="C3376" s="60" t="n"/>
      <c r="D3376" s="60" t="n"/>
    </row>
    <row r="3377">
      <c r="C3377" s="60" t="n"/>
      <c r="D3377" s="60" t="n"/>
    </row>
    <row r="3378">
      <c r="C3378" s="60" t="n"/>
      <c r="D3378" s="60" t="n"/>
    </row>
    <row r="3379">
      <c r="C3379" s="60" t="n"/>
      <c r="D3379" s="60" t="n"/>
    </row>
    <row r="3380">
      <c r="C3380" s="60" t="n"/>
      <c r="D3380" s="60" t="n"/>
    </row>
    <row r="3381">
      <c r="C3381" s="60" t="n"/>
      <c r="D3381" s="60" t="n"/>
    </row>
    <row r="3382">
      <c r="C3382" s="60" t="n"/>
      <c r="D3382" s="60" t="n"/>
    </row>
    <row r="3383">
      <c r="C3383" s="60" t="n"/>
      <c r="D3383" s="60" t="n"/>
    </row>
    <row r="3384">
      <c r="C3384" s="60" t="n"/>
      <c r="D3384" s="60" t="n"/>
    </row>
    <row r="3385">
      <c r="C3385" s="60" t="n"/>
      <c r="D3385" s="60" t="n"/>
    </row>
    <row r="3386">
      <c r="C3386" s="60" t="n"/>
      <c r="D3386" s="60" t="n"/>
    </row>
    <row r="3387">
      <c r="C3387" s="60" t="n"/>
      <c r="D3387" s="60" t="n"/>
    </row>
    <row r="3388">
      <c r="C3388" s="60" t="n"/>
      <c r="D3388" s="60" t="n"/>
    </row>
    <row r="3389">
      <c r="C3389" s="60" t="n"/>
      <c r="D3389" s="60" t="n"/>
    </row>
    <row r="3390">
      <c r="C3390" s="60" t="n"/>
      <c r="D3390" s="60" t="n"/>
    </row>
    <row r="3391">
      <c r="C3391" s="60" t="n"/>
      <c r="D3391" s="60" t="n"/>
    </row>
    <row r="3392">
      <c r="C3392" s="60" t="n"/>
      <c r="D3392" s="60" t="n"/>
    </row>
    <row r="3393">
      <c r="C3393" s="60" t="n"/>
      <c r="D3393" s="60" t="n"/>
    </row>
    <row r="3394">
      <c r="C3394" s="60" t="n"/>
      <c r="D3394" s="60" t="n"/>
    </row>
    <row r="3395">
      <c r="C3395" s="60" t="n"/>
      <c r="D3395" s="60" t="n"/>
    </row>
    <row r="3396">
      <c r="C3396" s="60" t="n"/>
      <c r="D3396" s="60" t="n"/>
    </row>
    <row r="3397">
      <c r="C3397" s="60" t="n"/>
      <c r="D3397" s="60" t="n"/>
    </row>
    <row r="3398">
      <c r="C3398" s="60" t="n"/>
      <c r="D3398" s="60" t="n"/>
    </row>
    <row r="3399">
      <c r="C3399" s="60" t="n"/>
      <c r="D3399" s="60" t="n"/>
    </row>
    <row r="3400">
      <c r="C3400" s="60" t="n"/>
      <c r="D3400" s="60" t="n"/>
    </row>
    <row r="3401">
      <c r="C3401" s="60" t="n"/>
      <c r="D3401" s="60" t="n"/>
    </row>
    <row r="3402">
      <c r="C3402" s="60" t="n"/>
      <c r="D3402" s="60" t="n"/>
    </row>
    <row r="3403">
      <c r="C3403" s="60" t="n"/>
      <c r="D3403" s="60" t="n"/>
    </row>
    <row r="3404">
      <c r="C3404" s="60" t="n"/>
      <c r="D3404" s="60" t="n"/>
    </row>
    <row r="3405">
      <c r="C3405" s="60" t="n"/>
      <c r="D3405" s="60" t="n"/>
    </row>
    <row r="3406">
      <c r="C3406" s="60" t="n"/>
      <c r="D3406" s="60" t="n"/>
    </row>
    <row r="3407">
      <c r="C3407" s="60" t="n"/>
      <c r="D3407" s="60" t="n"/>
    </row>
    <row r="3408">
      <c r="C3408" s="60" t="n"/>
      <c r="D3408" s="60" t="n"/>
    </row>
    <row r="3409">
      <c r="C3409" s="60" t="n"/>
      <c r="D3409" s="60" t="n"/>
    </row>
    <row r="3410">
      <c r="C3410" s="60" t="n"/>
      <c r="D3410" s="60" t="n"/>
    </row>
    <row r="3411">
      <c r="C3411" s="60" t="n"/>
      <c r="D3411" s="60" t="n"/>
    </row>
    <row r="3412">
      <c r="C3412" s="60" t="n"/>
      <c r="D3412" s="60" t="n"/>
    </row>
    <row r="3413">
      <c r="C3413" s="60" t="n"/>
      <c r="D3413" s="60" t="n"/>
    </row>
    <row r="3414">
      <c r="C3414" s="60" t="n"/>
      <c r="D3414" s="60" t="n"/>
    </row>
    <row r="3415">
      <c r="C3415" s="60" t="n"/>
      <c r="D3415" s="60" t="n"/>
    </row>
    <row r="3416">
      <c r="C3416" s="60" t="n"/>
      <c r="D3416" s="60" t="n"/>
    </row>
    <row r="3417">
      <c r="C3417" s="60" t="n"/>
      <c r="D3417" s="60" t="n"/>
    </row>
    <row r="3418">
      <c r="C3418" s="60" t="n"/>
      <c r="D3418" s="60" t="n"/>
    </row>
    <row r="3419">
      <c r="C3419" s="60" t="n"/>
      <c r="D3419" s="60" t="n"/>
    </row>
    <row r="3420">
      <c r="C3420" s="60" t="n"/>
      <c r="D3420" s="60" t="n"/>
    </row>
    <row r="3421">
      <c r="C3421" s="60" t="n"/>
      <c r="D3421" s="60" t="n"/>
    </row>
    <row r="3422">
      <c r="C3422" s="60" t="n"/>
      <c r="D3422" s="60" t="n"/>
    </row>
    <row r="3423">
      <c r="C3423" s="60" t="n"/>
      <c r="D3423" s="60" t="n"/>
    </row>
    <row r="3424">
      <c r="C3424" s="60" t="n"/>
      <c r="D3424" s="60" t="n"/>
    </row>
    <row r="3425">
      <c r="C3425" s="60" t="n"/>
      <c r="D3425" s="60" t="n"/>
    </row>
    <row r="3426">
      <c r="C3426" s="60" t="n"/>
      <c r="D3426" s="60" t="n"/>
    </row>
    <row r="3427">
      <c r="C3427" s="60" t="n"/>
      <c r="D3427" s="60" t="n"/>
    </row>
    <row r="3428">
      <c r="C3428" s="60" t="n"/>
      <c r="D3428" s="60" t="n"/>
    </row>
    <row r="3429">
      <c r="C3429" s="60" t="n"/>
      <c r="D3429" s="60" t="n"/>
    </row>
    <row r="3430">
      <c r="C3430" s="60" t="n"/>
      <c r="D3430" s="60" t="n"/>
    </row>
    <row r="3431">
      <c r="C3431" s="60" t="n"/>
      <c r="D3431" s="60" t="n"/>
    </row>
    <row r="3432">
      <c r="C3432" s="60" t="n"/>
      <c r="D3432" s="60" t="n"/>
    </row>
    <row r="3433">
      <c r="C3433" s="60" t="n"/>
      <c r="D3433" s="60" t="n"/>
    </row>
    <row r="3434">
      <c r="C3434" s="60" t="n"/>
      <c r="D3434" s="60" t="n"/>
    </row>
    <row r="3435">
      <c r="C3435" s="60" t="n"/>
      <c r="D3435" s="60" t="n"/>
    </row>
    <row r="3436">
      <c r="C3436" s="60" t="n"/>
      <c r="D3436" s="60" t="n"/>
    </row>
    <row r="3437">
      <c r="C3437" s="60" t="n"/>
      <c r="D3437" s="60" t="n"/>
    </row>
    <row r="3438">
      <c r="C3438" s="60" t="n"/>
      <c r="D3438" s="60" t="n"/>
    </row>
    <row r="3439">
      <c r="C3439" s="60" t="n"/>
      <c r="D3439" s="60" t="n"/>
    </row>
    <row r="3440">
      <c r="C3440" s="60" t="n"/>
      <c r="D3440" s="60" t="n"/>
    </row>
    <row r="3441">
      <c r="C3441" s="60" t="n"/>
      <c r="D3441" s="60" t="n"/>
    </row>
    <row r="3442">
      <c r="C3442" s="60" t="n"/>
      <c r="D3442" s="60" t="n"/>
    </row>
    <row r="3443">
      <c r="C3443" s="60" t="n"/>
      <c r="D3443" s="60" t="n"/>
    </row>
    <row r="3444">
      <c r="C3444" s="60" t="n"/>
      <c r="D3444" s="60" t="n"/>
    </row>
    <row r="3445">
      <c r="C3445" s="60" t="n"/>
      <c r="D3445" s="60" t="n"/>
    </row>
    <row r="3446">
      <c r="C3446" s="60" t="n"/>
      <c r="D3446" s="60" t="n"/>
    </row>
    <row r="3447">
      <c r="C3447" s="60" t="n"/>
      <c r="D3447" s="60" t="n"/>
    </row>
    <row r="3448">
      <c r="C3448" s="60" t="n"/>
      <c r="D3448" s="60" t="n"/>
    </row>
    <row r="3449">
      <c r="C3449" s="60" t="n"/>
      <c r="D3449" s="60" t="n"/>
    </row>
    <row r="3450">
      <c r="C3450" s="60" t="n"/>
      <c r="D3450" s="60" t="n"/>
    </row>
    <row r="3451">
      <c r="C3451" s="60" t="n"/>
      <c r="D3451" s="60" t="n"/>
    </row>
    <row r="3452">
      <c r="C3452" s="60" t="n"/>
      <c r="D3452" s="60" t="n"/>
    </row>
    <row r="3453">
      <c r="C3453" s="60" t="n"/>
      <c r="D3453" s="60" t="n"/>
    </row>
    <row r="3454">
      <c r="C3454" s="60" t="n"/>
      <c r="D3454" s="60" t="n"/>
    </row>
    <row r="3455">
      <c r="C3455" s="60" t="n"/>
      <c r="D3455" s="60" t="n"/>
    </row>
    <row r="3456">
      <c r="C3456" s="60" t="n"/>
      <c r="D3456" s="60" t="n"/>
    </row>
    <row r="3457">
      <c r="C3457" s="60" t="n"/>
      <c r="D3457" s="60" t="n"/>
    </row>
    <row r="3458">
      <c r="C3458" s="60" t="n"/>
      <c r="D3458" s="60" t="n"/>
    </row>
    <row r="3459">
      <c r="C3459" s="60" t="n"/>
      <c r="D3459" s="60" t="n"/>
    </row>
    <row r="3460">
      <c r="C3460" s="60" t="n"/>
      <c r="D3460" s="60" t="n"/>
    </row>
    <row r="3461">
      <c r="C3461" s="60" t="n"/>
      <c r="D3461" s="60" t="n"/>
    </row>
    <row r="3462">
      <c r="C3462" s="60" t="n"/>
      <c r="D3462" s="60" t="n"/>
    </row>
    <row r="3463">
      <c r="C3463" s="60" t="n"/>
      <c r="D3463" s="60" t="n"/>
    </row>
    <row r="3464">
      <c r="C3464" s="60" t="n"/>
      <c r="D3464" s="60" t="n"/>
    </row>
    <row r="3465">
      <c r="C3465" s="60" t="n"/>
      <c r="D3465" s="60" t="n"/>
    </row>
    <row r="3466">
      <c r="C3466" s="60" t="n"/>
      <c r="D3466" s="60" t="n"/>
    </row>
    <row r="3467">
      <c r="C3467" s="60" t="n"/>
      <c r="D3467" s="60" t="n"/>
    </row>
    <row r="3468">
      <c r="C3468" s="60" t="n"/>
      <c r="D3468" s="60" t="n"/>
    </row>
    <row r="3469">
      <c r="C3469" s="60" t="n"/>
      <c r="D3469" s="60" t="n"/>
    </row>
    <row r="3470">
      <c r="C3470" s="60" t="n"/>
      <c r="D3470" s="60" t="n"/>
    </row>
    <row r="3471">
      <c r="C3471" s="60" t="n"/>
      <c r="D3471" s="60" t="n"/>
    </row>
    <row r="3472">
      <c r="C3472" s="60" t="n"/>
      <c r="D3472" s="60" t="n"/>
    </row>
    <row r="3473">
      <c r="C3473" s="60" t="n"/>
      <c r="D3473" s="60" t="n"/>
    </row>
    <row r="3474">
      <c r="C3474" s="60" t="n"/>
      <c r="D3474" s="60" t="n"/>
    </row>
    <row r="3475">
      <c r="C3475" s="60" t="n"/>
      <c r="D3475" s="60" t="n"/>
    </row>
    <row r="3476">
      <c r="C3476" s="60" t="n"/>
      <c r="D3476" s="60" t="n"/>
    </row>
    <row r="3477">
      <c r="C3477" s="60" t="n"/>
      <c r="D3477" s="60" t="n"/>
    </row>
    <row r="3478">
      <c r="C3478" s="60" t="n"/>
      <c r="D3478" s="60" t="n"/>
    </row>
    <row r="3479">
      <c r="C3479" s="60" t="n"/>
      <c r="D3479" s="60" t="n"/>
    </row>
    <row r="3480">
      <c r="C3480" s="60" t="n"/>
      <c r="D3480" s="60" t="n"/>
    </row>
    <row r="3481">
      <c r="C3481" s="60" t="n"/>
      <c r="D3481" s="60" t="n"/>
    </row>
    <row r="3482">
      <c r="C3482" s="60" t="n"/>
      <c r="D3482" s="60" t="n"/>
    </row>
    <row r="3483">
      <c r="C3483" s="60" t="n"/>
      <c r="D3483" s="60" t="n"/>
    </row>
    <row r="3484">
      <c r="C3484" s="60" t="n"/>
      <c r="D3484" s="60" t="n"/>
    </row>
    <row r="3485">
      <c r="C3485" s="60" t="n"/>
      <c r="D3485" s="60" t="n"/>
    </row>
    <row r="3486">
      <c r="C3486" s="60" t="n"/>
      <c r="D3486" s="60" t="n"/>
    </row>
    <row r="3487">
      <c r="C3487" s="60" t="n"/>
      <c r="D3487" s="60" t="n"/>
    </row>
    <row r="3488">
      <c r="C3488" s="60" t="n"/>
      <c r="D3488" s="60" t="n"/>
    </row>
    <row r="3489">
      <c r="C3489" s="60" t="n"/>
      <c r="D3489" s="60" t="n"/>
    </row>
    <row r="3490">
      <c r="C3490" s="60" t="n"/>
      <c r="D3490" s="60" t="n"/>
    </row>
    <row r="3491">
      <c r="C3491" s="60" t="n"/>
      <c r="D3491" s="60" t="n"/>
    </row>
    <row r="3492">
      <c r="C3492" s="60" t="n"/>
      <c r="D3492" s="60" t="n"/>
    </row>
    <row r="3493">
      <c r="C3493" s="60" t="n"/>
      <c r="D3493" s="60" t="n"/>
    </row>
    <row r="3494">
      <c r="C3494" s="60" t="n"/>
      <c r="D3494" s="60" t="n"/>
    </row>
    <row r="3495">
      <c r="C3495" s="60" t="n"/>
      <c r="D3495" s="60" t="n"/>
    </row>
    <row r="3496">
      <c r="C3496" s="60" t="n"/>
      <c r="D3496" s="60" t="n"/>
    </row>
    <row r="3497">
      <c r="C3497" s="60" t="n"/>
      <c r="D3497" s="60" t="n"/>
    </row>
    <row r="3498">
      <c r="C3498" s="60" t="n"/>
      <c r="D3498" s="60" t="n"/>
    </row>
    <row r="3499">
      <c r="C3499" s="60" t="n"/>
      <c r="D3499" s="60" t="n"/>
    </row>
    <row r="3500">
      <c r="C3500" s="60" t="n"/>
      <c r="D3500" s="60" t="n"/>
    </row>
    <row r="3501">
      <c r="C3501" s="60" t="n"/>
      <c r="D3501" s="60" t="n"/>
    </row>
    <row r="3502">
      <c r="C3502" s="60" t="n"/>
      <c r="D3502" s="60" t="n"/>
    </row>
    <row r="3503">
      <c r="C3503" s="60" t="n"/>
      <c r="D3503" s="60" t="n"/>
    </row>
    <row r="3504">
      <c r="C3504" s="60" t="n"/>
      <c r="D3504" s="60" t="n"/>
    </row>
    <row r="3505">
      <c r="C3505" s="60" t="n"/>
      <c r="D3505" s="60" t="n"/>
    </row>
    <row r="3506">
      <c r="C3506" s="60" t="n"/>
      <c r="D3506" s="60" t="n"/>
    </row>
    <row r="3507">
      <c r="C3507" s="60" t="n"/>
      <c r="D3507" s="60" t="n"/>
    </row>
    <row r="3508">
      <c r="C3508" s="60" t="n"/>
      <c r="D3508" s="60" t="n"/>
    </row>
    <row r="3509">
      <c r="C3509" s="60" t="n"/>
      <c r="D3509" s="60" t="n"/>
    </row>
    <row r="3510">
      <c r="C3510" s="60" t="n"/>
      <c r="D3510" s="60" t="n"/>
    </row>
    <row r="3511">
      <c r="C3511" s="60" t="n"/>
      <c r="D3511" s="60" t="n"/>
    </row>
    <row r="3512">
      <c r="C3512" s="60" t="n"/>
      <c r="D3512" s="60" t="n"/>
    </row>
    <row r="3513">
      <c r="C3513" s="60" t="n"/>
      <c r="D3513" s="60" t="n"/>
    </row>
    <row r="3514">
      <c r="C3514" s="60" t="n"/>
      <c r="D3514" s="60" t="n"/>
    </row>
    <row r="3515">
      <c r="C3515" s="60" t="n"/>
      <c r="D3515" s="60" t="n"/>
    </row>
    <row r="3516">
      <c r="C3516" s="60" t="n"/>
      <c r="D3516" s="60" t="n"/>
    </row>
    <row r="3517">
      <c r="C3517" s="60" t="n"/>
      <c r="D3517" s="60" t="n"/>
    </row>
    <row r="3518">
      <c r="C3518" s="60" t="n"/>
      <c r="D3518" s="60" t="n"/>
    </row>
    <row r="3519">
      <c r="C3519" s="60" t="n"/>
      <c r="D3519" s="60" t="n"/>
    </row>
    <row r="3520">
      <c r="C3520" s="60" t="n"/>
      <c r="D3520" s="60" t="n"/>
    </row>
    <row r="3521">
      <c r="C3521" s="60" t="n"/>
      <c r="D3521" s="60" t="n"/>
    </row>
    <row r="3522">
      <c r="C3522" s="60" t="n"/>
      <c r="D3522" s="60" t="n"/>
    </row>
    <row r="3523">
      <c r="C3523" s="60" t="n"/>
      <c r="D3523" s="60" t="n"/>
    </row>
    <row r="3524">
      <c r="C3524" s="60" t="n"/>
      <c r="D3524" s="60" t="n"/>
    </row>
    <row r="3525">
      <c r="C3525" s="60" t="n"/>
      <c r="D3525" s="60" t="n"/>
    </row>
    <row r="3526">
      <c r="C3526" s="60" t="n"/>
      <c r="D3526" s="60" t="n"/>
    </row>
    <row r="3527">
      <c r="C3527" s="60" t="n"/>
      <c r="D3527" s="60" t="n"/>
    </row>
    <row r="3528">
      <c r="C3528" s="60" t="n"/>
      <c r="D3528" s="60" t="n"/>
    </row>
    <row r="3529">
      <c r="C3529" s="60" t="n"/>
      <c r="D3529" s="60" t="n"/>
    </row>
    <row r="3530">
      <c r="C3530" s="60" t="n"/>
      <c r="D3530" s="60" t="n"/>
    </row>
    <row r="3531">
      <c r="C3531" s="60" t="n"/>
      <c r="D3531" s="60" t="n"/>
    </row>
    <row r="3532">
      <c r="C3532" s="60" t="n"/>
      <c r="D3532" s="60" t="n"/>
    </row>
    <row r="3533">
      <c r="C3533" s="60" t="n"/>
      <c r="D3533" s="60" t="n"/>
    </row>
    <row r="3534">
      <c r="C3534" s="60" t="n"/>
      <c r="D3534" s="60" t="n"/>
    </row>
    <row r="3535">
      <c r="C3535" s="60" t="n"/>
      <c r="D3535" s="60" t="n"/>
    </row>
    <row r="3536">
      <c r="C3536" s="60" t="n"/>
      <c r="D3536" s="60" t="n"/>
    </row>
    <row r="3537">
      <c r="C3537" s="60" t="n"/>
      <c r="D3537" s="60" t="n"/>
    </row>
    <row r="3538">
      <c r="C3538" s="60" t="n"/>
      <c r="D3538" s="60" t="n"/>
    </row>
    <row r="3539">
      <c r="C3539" s="60" t="n"/>
      <c r="D3539" s="60" t="n"/>
    </row>
    <row r="3540">
      <c r="C3540" s="60" t="n"/>
      <c r="D3540" s="60" t="n"/>
    </row>
    <row r="3541">
      <c r="C3541" s="60" t="n"/>
      <c r="D3541" s="60" t="n"/>
    </row>
    <row r="3542">
      <c r="C3542" s="60" t="n"/>
      <c r="D3542" s="60" t="n"/>
    </row>
    <row r="3543">
      <c r="C3543" s="60" t="n"/>
      <c r="D3543" s="60" t="n"/>
    </row>
    <row r="3544">
      <c r="C3544" s="60" t="n"/>
      <c r="D3544" s="60" t="n"/>
    </row>
    <row r="3545">
      <c r="C3545" s="60" t="n"/>
      <c r="D3545" s="60" t="n"/>
    </row>
    <row r="3546">
      <c r="C3546" s="60" t="n"/>
      <c r="D3546" s="60" t="n"/>
    </row>
    <row r="3547">
      <c r="C3547" s="60" t="n"/>
      <c r="D3547" s="60" t="n"/>
    </row>
    <row r="3548">
      <c r="C3548" s="60" t="n"/>
      <c r="D3548" s="60" t="n"/>
    </row>
    <row r="3549">
      <c r="C3549" s="60" t="n"/>
      <c r="D3549" s="60" t="n"/>
    </row>
    <row r="3550">
      <c r="C3550" s="60" t="n"/>
      <c r="D3550" s="60" t="n"/>
    </row>
    <row r="3551">
      <c r="C3551" s="60" t="n"/>
      <c r="D3551" s="60" t="n"/>
    </row>
    <row r="3552">
      <c r="C3552" s="60" t="n"/>
      <c r="D3552" s="60" t="n"/>
    </row>
    <row r="3553">
      <c r="C3553" s="60" t="n"/>
      <c r="D3553" s="60" t="n"/>
    </row>
    <row r="3554">
      <c r="C3554" s="60" t="n"/>
      <c r="D3554" s="60" t="n"/>
    </row>
    <row r="3555">
      <c r="C3555" s="60" t="n"/>
      <c r="D3555" s="60" t="n"/>
    </row>
    <row r="3556">
      <c r="C3556" s="60" t="n"/>
      <c r="D3556" s="60" t="n"/>
    </row>
    <row r="3557">
      <c r="C3557" s="60" t="n"/>
      <c r="D3557" s="60" t="n"/>
    </row>
    <row r="3558">
      <c r="C3558" s="60" t="n"/>
      <c r="D3558" s="60" t="n"/>
    </row>
    <row r="3559">
      <c r="C3559" s="60" t="n"/>
      <c r="D3559" s="60" t="n"/>
    </row>
    <row r="3560">
      <c r="C3560" s="60" t="n"/>
      <c r="D3560" s="60" t="n"/>
    </row>
    <row r="3561">
      <c r="C3561" s="60" t="n"/>
      <c r="D3561" s="60" t="n"/>
    </row>
    <row r="3562">
      <c r="C3562" s="60" t="n"/>
      <c r="D3562" s="60" t="n"/>
    </row>
    <row r="3563">
      <c r="C3563" s="60" t="n"/>
      <c r="D3563" s="60" t="n"/>
    </row>
    <row r="3564">
      <c r="C3564" s="60" t="n"/>
      <c r="D3564" s="60" t="n"/>
    </row>
    <row r="3565">
      <c r="C3565" s="60" t="n"/>
      <c r="D3565" s="60" t="n"/>
    </row>
    <row r="3566">
      <c r="C3566" s="60" t="n"/>
      <c r="D3566" s="60" t="n"/>
    </row>
    <row r="3567">
      <c r="C3567" s="60" t="n"/>
      <c r="D3567" s="60" t="n"/>
    </row>
    <row r="3568">
      <c r="C3568" s="60" t="n"/>
      <c r="D3568" s="60" t="n"/>
    </row>
    <row r="3569">
      <c r="C3569" s="60" t="n"/>
      <c r="D3569" s="60" t="n"/>
    </row>
    <row r="3570">
      <c r="C3570" s="60" t="n"/>
      <c r="D3570" s="60" t="n"/>
    </row>
    <row r="3571">
      <c r="C3571" s="60" t="n"/>
      <c r="D3571" s="60" t="n"/>
    </row>
    <row r="3572">
      <c r="C3572" s="60" t="n"/>
      <c r="D3572" s="60" t="n"/>
    </row>
    <row r="3573">
      <c r="C3573" s="60" t="n"/>
      <c r="D3573" s="60" t="n"/>
    </row>
    <row r="3574">
      <c r="C3574" s="60" t="n"/>
      <c r="D3574" s="60" t="n"/>
    </row>
    <row r="3575">
      <c r="C3575" s="60" t="n"/>
      <c r="D3575" s="60" t="n"/>
    </row>
    <row r="3576">
      <c r="C3576" s="60" t="n"/>
      <c r="D3576" s="60" t="n"/>
    </row>
    <row r="3577">
      <c r="C3577" s="60" t="n"/>
      <c r="D3577" s="60" t="n"/>
    </row>
    <row r="3578">
      <c r="C3578" s="60" t="n"/>
      <c r="D3578" s="60" t="n"/>
    </row>
    <row r="3579">
      <c r="C3579" s="60" t="n"/>
      <c r="D3579" s="60" t="n"/>
    </row>
    <row r="3580">
      <c r="C3580" s="60" t="n"/>
      <c r="D3580" s="60" t="n"/>
    </row>
    <row r="3581">
      <c r="C3581" s="60" t="n"/>
      <c r="D3581" s="60" t="n"/>
    </row>
    <row r="3582">
      <c r="C3582" s="60" t="n"/>
      <c r="D3582" s="60" t="n"/>
    </row>
    <row r="3583">
      <c r="C3583" s="60" t="n"/>
      <c r="D3583" s="60" t="n"/>
    </row>
    <row r="3584">
      <c r="C3584" s="60" t="n"/>
      <c r="D3584" s="60" t="n"/>
    </row>
    <row r="3585">
      <c r="C3585" s="60" t="n"/>
      <c r="D3585" s="60" t="n"/>
    </row>
    <row r="3586">
      <c r="C3586" s="60" t="n"/>
      <c r="D3586" s="60" t="n"/>
    </row>
    <row r="3587">
      <c r="C3587" s="60" t="n"/>
      <c r="D3587" s="60" t="n"/>
    </row>
    <row r="3588">
      <c r="C3588" s="60" t="n"/>
      <c r="D3588" s="60" t="n"/>
    </row>
    <row r="3589">
      <c r="C3589" s="60" t="n"/>
      <c r="D3589" s="60" t="n"/>
    </row>
    <row r="3590">
      <c r="C3590" s="60" t="n"/>
      <c r="D3590" s="60" t="n"/>
    </row>
    <row r="3591">
      <c r="C3591" s="60" t="n"/>
      <c r="D3591" s="60" t="n"/>
    </row>
    <row r="3592">
      <c r="C3592" s="60" t="n"/>
      <c r="D3592" s="60" t="n"/>
    </row>
    <row r="3593">
      <c r="C3593" s="60" t="n"/>
      <c r="D3593" s="60" t="n"/>
    </row>
    <row r="3594">
      <c r="C3594" s="60" t="n"/>
      <c r="D3594" s="60" t="n"/>
    </row>
    <row r="3595">
      <c r="C3595" s="60" t="n"/>
      <c r="D3595" s="60" t="n"/>
    </row>
    <row r="3596">
      <c r="C3596" s="60" t="n"/>
      <c r="D3596" s="60" t="n"/>
    </row>
    <row r="3597">
      <c r="C3597" s="60" t="n"/>
      <c r="D3597" s="60" t="n"/>
    </row>
    <row r="3598">
      <c r="C3598" s="60" t="n"/>
      <c r="D3598" s="60" t="n"/>
    </row>
    <row r="3599">
      <c r="C3599" s="60" t="n"/>
      <c r="D3599" s="60" t="n"/>
    </row>
    <row r="3600">
      <c r="C3600" s="60" t="n"/>
      <c r="D3600" s="60" t="n"/>
    </row>
    <row r="3601">
      <c r="C3601" s="60" t="n"/>
      <c r="D3601" s="60" t="n"/>
    </row>
    <row r="3602">
      <c r="C3602" s="60" t="n"/>
      <c r="D3602" s="60" t="n"/>
    </row>
    <row r="3603">
      <c r="C3603" s="60" t="n"/>
      <c r="D3603" s="60" t="n"/>
    </row>
    <row r="3604">
      <c r="C3604" s="60" t="n"/>
      <c r="D3604" s="60" t="n"/>
    </row>
    <row r="3605">
      <c r="C3605" s="60" t="n"/>
      <c r="D3605" s="60" t="n"/>
    </row>
    <row r="3606">
      <c r="C3606" s="60" t="n"/>
      <c r="D3606" s="60" t="n"/>
    </row>
    <row r="3607">
      <c r="C3607" s="60" t="n"/>
      <c r="D3607" s="60" t="n"/>
    </row>
    <row r="3608">
      <c r="C3608" s="60" t="n"/>
      <c r="D3608" s="60" t="n"/>
    </row>
    <row r="3609">
      <c r="C3609" s="60" t="n"/>
      <c r="D3609" s="60" t="n"/>
    </row>
    <row r="3610">
      <c r="C3610" s="60" t="n"/>
      <c r="D3610" s="60" t="n"/>
    </row>
    <row r="3611">
      <c r="C3611" s="60" t="n"/>
      <c r="D3611" s="60" t="n"/>
    </row>
    <row r="3612">
      <c r="C3612" s="60" t="n"/>
      <c r="D3612" s="60" t="n"/>
    </row>
    <row r="3613">
      <c r="C3613" s="60" t="n"/>
      <c r="D3613" s="60" t="n"/>
    </row>
    <row r="3614">
      <c r="C3614" s="60" t="n"/>
      <c r="D3614" s="60" t="n"/>
    </row>
    <row r="3615">
      <c r="C3615" s="60" t="n"/>
      <c r="D3615" s="60" t="n"/>
    </row>
    <row r="3616">
      <c r="C3616" s="60" t="n"/>
      <c r="D3616" s="60" t="n"/>
    </row>
    <row r="3617">
      <c r="C3617" s="60" t="n"/>
      <c r="D3617" s="60" t="n"/>
    </row>
    <row r="3618">
      <c r="C3618" s="60" t="n"/>
      <c r="D3618" s="60" t="n"/>
    </row>
    <row r="3619">
      <c r="C3619" s="60" t="n"/>
      <c r="D3619" s="60" t="n"/>
    </row>
    <row r="3620">
      <c r="C3620" s="60" t="n"/>
      <c r="D3620" s="60" t="n"/>
    </row>
    <row r="3621">
      <c r="C3621" s="60" t="n"/>
      <c r="D3621" s="60" t="n"/>
    </row>
    <row r="3622">
      <c r="C3622" s="60" t="n"/>
      <c r="D3622" s="60" t="n"/>
    </row>
    <row r="3623">
      <c r="C3623" s="60" t="n"/>
      <c r="D3623" s="60" t="n"/>
    </row>
    <row r="3624">
      <c r="C3624" s="60" t="n"/>
      <c r="D3624" s="60" t="n"/>
    </row>
    <row r="3625">
      <c r="C3625" s="60" t="n"/>
      <c r="D3625" s="60" t="n"/>
    </row>
    <row r="3626">
      <c r="C3626" s="60" t="n"/>
      <c r="D3626" s="60" t="n"/>
    </row>
    <row r="3627">
      <c r="C3627" s="60" t="n"/>
      <c r="D3627" s="60" t="n"/>
    </row>
    <row r="3628">
      <c r="C3628" s="60" t="n"/>
      <c r="D3628" s="60" t="n"/>
    </row>
    <row r="3629">
      <c r="C3629" s="60" t="n"/>
      <c r="D3629" s="60" t="n"/>
    </row>
    <row r="3630">
      <c r="C3630" s="60" t="n"/>
      <c r="D3630" s="60" t="n"/>
    </row>
    <row r="3631">
      <c r="C3631" s="60" t="n"/>
      <c r="D3631" s="60" t="n"/>
    </row>
    <row r="3632">
      <c r="C3632" s="60" t="n"/>
      <c r="D3632" s="60" t="n"/>
    </row>
    <row r="3633">
      <c r="C3633" s="60" t="n"/>
      <c r="D3633" s="60" t="n"/>
    </row>
    <row r="3634">
      <c r="C3634" s="60" t="n"/>
      <c r="D3634" s="60" t="n"/>
    </row>
    <row r="3635">
      <c r="C3635" s="60" t="n"/>
      <c r="D3635" s="60" t="n"/>
    </row>
    <row r="3636">
      <c r="C3636" s="60" t="n"/>
      <c r="D3636" s="60" t="n"/>
    </row>
    <row r="3637">
      <c r="C3637" s="60" t="n"/>
      <c r="D3637" s="60" t="n"/>
    </row>
    <row r="3638">
      <c r="C3638" s="60" t="n"/>
      <c r="D3638" s="60" t="n"/>
    </row>
    <row r="3639">
      <c r="C3639" s="60" t="n"/>
      <c r="D3639" s="60" t="n"/>
    </row>
    <row r="3640">
      <c r="C3640" s="60" t="n"/>
      <c r="D3640" s="60" t="n"/>
    </row>
    <row r="3641">
      <c r="C3641" s="60" t="n"/>
      <c r="D3641" s="60" t="n"/>
    </row>
    <row r="3642">
      <c r="C3642" s="60" t="n"/>
      <c r="D3642" s="60" t="n"/>
    </row>
    <row r="3643">
      <c r="C3643" s="60" t="n"/>
      <c r="D3643" s="60" t="n"/>
    </row>
    <row r="3644">
      <c r="C3644" s="60" t="n"/>
      <c r="D3644" s="60" t="n"/>
    </row>
    <row r="3645">
      <c r="C3645" s="60" t="n"/>
      <c r="D3645" s="60" t="n"/>
    </row>
    <row r="3646">
      <c r="C3646" s="60" t="n"/>
      <c r="D3646" s="60" t="n"/>
    </row>
    <row r="3647">
      <c r="C3647" s="60" t="n"/>
      <c r="D3647" s="60" t="n"/>
    </row>
    <row r="3648">
      <c r="C3648" s="60" t="n"/>
      <c r="D3648" s="60" t="n"/>
    </row>
    <row r="3649">
      <c r="C3649" s="60" t="n"/>
      <c r="D3649" s="60" t="n"/>
    </row>
    <row r="3650">
      <c r="C3650" s="60" t="n"/>
      <c r="D3650" s="60" t="n"/>
    </row>
    <row r="3651">
      <c r="C3651" s="60" t="n"/>
      <c r="D3651" s="60" t="n"/>
    </row>
    <row r="3652">
      <c r="C3652" s="60" t="n"/>
      <c r="D3652" s="60" t="n"/>
    </row>
    <row r="3653">
      <c r="C3653" s="60" t="n"/>
      <c r="D3653" s="60" t="n"/>
    </row>
    <row r="3654">
      <c r="C3654" s="60" t="n"/>
      <c r="D3654" s="60" t="n"/>
    </row>
    <row r="3655">
      <c r="C3655" s="60" t="n"/>
      <c r="D3655" s="60" t="n"/>
    </row>
    <row r="3656">
      <c r="C3656" s="60" t="n"/>
      <c r="D3656" s="60" t="n"/>
    </row>
    <row r="3657">
      <c r="C3657" s="60" t="n"/>
      <c r="D3657" s="60" t="n"/>
    </row>
    <row r="3658">
      <c r="C3658" s="60" t="n"/>
      <c r="D3658" s="60" t="n"/>
    </row>
    <row r="3659">
      <c r="C3659" s="60" t="n"/>
      <c r="D3659" s="60" t="n"/>
    </row>
    <row r="3660">
      <c r="C3660" s="60" t="n"/>
      <c r="D3660" s="60" t="n"/>
    </row>
    <row r="3661">
      <c r="C3661" s="60" t="n"/>
      <c r="D3661" s="60" t="n"/>
    </row>
    <row r="3662">
      <c r="C3662" s="60" t="n"/>
      <c r="D3662" s="60" t="n"/>
    </row>
    <row r="3663">
      <c r="C3663" s="60" t="n"/>
      <c r="D3663" s="60" t="n"/>
    </row>
    <row r="3664">
      <c r="C3664" s="60" t="n"/>
      <c r="D3664" s="60" t="n"/>
    </row>
    <row r="3665">
      <c r="C3665" s="60" t="n"/>
      <c r="D3665" s="60" t="n"/>
    </row>
    <row r="3666">
      <c r="C3666" s="60" t="n"/>
      <c r="D3666" s="60" t="n"/>
    </row>
    <row r="3667">
      <c r="C3667" s="60" t="n"/>
      <c r="D3667" s="60" t="n"/>
    </row>
    <row r="3668">
      <c r="C3668" s="60" t="n"/>
      <c r="D3668" s="60" t="n"/>
    </row>
    <row r="3669">
      <c r="C3669" s="60" t="n"/>
      <c r="D3669" s="60" t="n"/>
    </row>
    <row r="3670">
      <c r="C3670" s="60" t="n"/>
      <c r="D3670" s="60" t="n"/>
    </row>
    <row r="3671">
      <c r="C3671" s="60" t="n"/>
      <c r="D3671" s="60" t="n"/>
    </row>
    <row r="3672">
      <c r="C3672" s="60" t="n"/>
      <c r="D3672" s="60" t="n"/>
    </row>
    <row r="3673">
      <c r="C3673" s="60" t="n"/>
      <c r="D3673" s="60" t="n"/>
    </row>
    <row r="3674">
      <c r="C3674" s="60" t="n"/>
      <c r="D3674" s="60" t="n"/>
    </row>
    <row r="3675">
      <c r="C3675" s="60" t="n"/>
      <c r="D3675" s="60" t="n"/>
    </row>
    <row r="3676">
      <c r="C3676" s="60" t="n"/>
      <c r="D3676" s="60" t="n"/>
    </row>
    <row r="3677">
      <c r="C3677" s="60" t="n"/>
      <c r="D3677" s="60" t="n"/>
    </row>
    <row r="3678">
      <c r="C3678" s="60" t="n"/>
      <c r="D3678" s="60" t="n"/>
    </row>
    <row r="3679">
      <c r="C3679" s="60" t="n"/>
      <c r="D3679" s="60" t="n"/>
    </row>
    <row r="3680">
      <c r="C3680" s="60" t="n"/>
      <c r="D3680" s="60" t="n"/>
    </row>
    <row r="3681">
      <c r="C3681" s="60" t="n"/>
      <c r="D3681" s="60" t="n"/>
    </row>
    <row r="3682">
      <c r="C3682" s="60" t="n"/>
      <c r="D3682" s="60" t="n"/>
    </row>
    <row r="3683">
      <c r="C3683" s="60" t="n"/>
      <c r="D3683" s="60" t="n"/>
    </row>
    <row r="3684">
      <c r="C3684" s="60" t="n"/>
      <c r="D3684" s="60" t="n"/>
    </row>
    <row r="3685">
      <c r="C3685" s="60" t="n"/>
      <c r="D3685" s="60" t="n"/>
    </row>
    <row r="3686">
      <c r="C3686" s="60" t="n"/>
      <c r="D3686" s="60" t="n"/>
    </row>
    <row r="3687">
      <c r="C3687" s="60" t="n"/>
      <c r="D3687" s="60" t="n"/>
    </row>
    <row r="3688">
      <c r="C3688" s="60" t="n"/>
      <c r="D3688" s="60" t="n"/>
    </row>
    <row r="3689">
      <c r="C3689" s="60" t="n"/>
      <c r="D3689" s="60" t="n"/>
    </row>
    <row r="3690">
      <c r="C3690" s="60" t="n"/>
      <c r="D3690" s="60" t="n"/>
    </row>
    <row r="3691">
      <c r="C3691" s="60" t="n"/>
      <c r="D3691" s="60" t="n"/>
    </row>
    <row r="3692">
      <c r="C3692" s="60" t="n"/>
      <c r="D3692" s="60" t="n"/>
    </row>
    <row r="3693">
      <c r="C3693" s="60" t="n"/>
      <c r="D3693" s="60" t="n"/>
    </row>
    <row r="3694">
      <c r="C3694" s="60" t="n"/>
      <c r="D3694" s="60" t="n"/>
    </row>
    <row r="3695">
      <c r="C3695" s="60" t="n"/>
      <c r="D3695" s="60" t="n"/>
    </row>
    <row r="3696">
      <c r="C3696" s="60" t="n"/>
      <c r="D3696" s="60" t="n"/>
    </row>
    <row r="3697">
      <c r="C3697" s="60" t="n"/>
      <c r="D3697" s="60" t="n"/>
    </row>
    <row r="3698">
      <c r="C3698" s="60" t="n"/>
      <c r="D3698" s="60" t="n"/>
    </row>
    <row r="3699">
      <c r="C3699" s="60" t="n"/>
      <c r="D3699" s="60" t="n"/>
    </row>
    <row r="3700">
      <c r="C3700" s="60" t="n"/>
      <c r="D3700" s="60" t="n"/>
    </row>
    <row r="3701">
      <c r="C3701" s="60" t="n"/>
      <c r="D3701" s="60" t="n"/>
    </row>
    <row r="3702">
      <c r="C3702" s="60" t="n"/>
      <c r="D3702" s="60" t="n"/>
    </row>
    <row r="3703">
      <c r="C3703" s="60" t="n"/>
      <c r="D3703" s="60" t="n"/>
    </row>
    <row r="3704">
      <c r="C3704" s="60" t="n"/>
      <c r="D3704" s="60" t="n"/>
    </row>
    <row r="3705">
      <c r="C3705" s="60" t="n"/>
      <c r="D3705" s="60" t="n"/>
    </row>
    <row r="3706">
      <c r="C3706" s="60" t="n"/>
      <c r="D3706" s="60" t="n"/>
    </row>
    <row r="3707">
      <c r="C3707" s="60" t="n"/>
      <c r="D3707" s="60" t="n"/>
    </row>
    <row r="3708">
      <c r="C3708" s="60" t="n"/>
      <c r="D3708" s="60" t="n"/>
    </row>
    <row r="3709">
      <c r="C3709" s="60" t="n"/>
      <c r="D3709" s="60" t="n"/>
    </row>
    <row r="3710">
      <c r="C3710" s="60" t="n"/>
      <c r="D3710" s="60" t="n"/>
    </row>
    <row r="3711">
      <c r="C3711" s="60" t="n"/>
      <c r="D3711" s="60" t="n"/>
    </row>
    <row r="3712">
      <c r="C3712" s="60" t="n"/>
      <c r="D3712" s="60" t="n"/>
    </row>
    <row r="3713">
      <c r="C3713" s="60" t="n"/>
      <c r="D3713" s="60" t="n"/>
    </row>
    <row r="3714">
      <c r="C3714" s="60" t="n"/>
      <c r="D3714" s="60" t="n"/>
    </row>
    <row r="3715">
      <c r="C3715" s="60" t="n"/>
      <c r="D3715" s="60" t="n"/>
    </row>
    <row r="3716">
      <c r="C3716" s="60" t="n"/>
      <c r="D3716" s="60" t="n"/>
    </row>
    <row r="3717">
      <c r="C3717" s="60" t="n"/>
      <c r="D3717" s="60" t="n"/>
    </row>
    <row r="3718">
      <c r="C3718" s="60" t="n"/>
      <c r="D3718" s="60" t="n"/>
    </row>
    <row r="3719">
      <c r="C3719" s="60" t="n"/>
      <c r="D3719" s="60" t="n"/>
    </row>
    <row r="3720">
      <c r="C3720" s="60" t="n"/>
      <c r="D3720" s="60" t="n"/>
    </row>
    <row r="3721">
      <c r="C3721" s="60" t="n"/>
      <c r="D3721" s="60" t="n"/>
    </row>
    <row r="3722">
      <c r="C3722" s="60" t="n"/>
      <c r="D3722" s="60" t="n"/>
    </row>
    <row r="3723">
      <c r="C3723" s="60" t="n"/>
      <c r="D3723" s="60" t="n"/>
    </row>
    <row r="3724">
      <c r="C3724" s="60" t="n"/>
      <c r="D3724" s="60" t="n"/>
    </row>
    <row r="3725">
      <c r="C3725" s="60" t="n"/>
      <c r="D3725" s="60" t="n"/>
    </row>
    <row r="3726">
      <c r="C3726" s="60" t="n"/>
      <c r="D3726" s="60" t="n"/>
    </row>
    <row r="3727">
      <c r="C3727" s="60" t="n"/>
      <c r="D3727" s="60" t="n"/>
    </row>
    <row r="3728">
      <c r="C3728" s="60" t="n"/>
      <c r="D3728" s="60" t="n"/>
    </row>
    <row r="3729">
      <c r="C3729" s="60" t="n"/>
      <c r="D3729" s="60" t="n"/>
    </row>
    <row r="3730">
      <c r="C3730" s="60" t="n"/>
      <c r="D3730" s="60" t="n"/>
    </row>
    <row r="3731">
      <c r="C3731" s="60" t="n"/>
      <c r="D3731" s="60" t="n"/>
    </row>
    <row r="3732">
      <c r="C3732" s="60" t="n"/>
      <c r="D3732" s="60" t="n"/>
    </row>
    <row r="3733">
      <c r="C3733" s="60" t="n"/>
      <c r="D3733" s="60" t="n"/>
    </row>
    <row r="3734">
      <c r="C3734" s="60" t="n"/>
      <c r="D3734" s="60" t="n"/>
    </row>
    <row r="3735">
      <c r="C3735" s="60" t="n"/>
      <c r="D3735" s="60" t="n"/>
    </row>
    <row r="3736">
      <c r="C3736" s="60" t="n"/>
      <c r="D3736" s="60" t="n"/>
    </row>
    <row r="3737">
      <c r="C3737" s="60" t="n"/>
      <c r="D3737" s="60" t="n"/>
    </row>
    <row r="3738">
      <c r="C3738" s="60" t="n"/>
      <c r="D3738" s="60" t="n"/>
    </row>
    <row r="3739">
      <c r="C3739" s="60" t="n"/>
      <c r="D3739" s="60" t="n"/>
    </row>
    <row r="3740">
      <c r="C3740" s="60" t="n"/>
      <c r="D3740" s="60" t="n"/>
    </row>
    <row r="3741">
      <c r="C3741" s="60" t="n"/>
      <c r="D3741" s="60" t="n"/>
    </row>
    <row r="3742">
      <c r="C3742" s="60" t="n"/>
      <c r="D3742" s="60" t="n"/>
    </row>
    <row r="3743">
      <c r="C3743" s="60" t="n"/>
      <c r="D3743" s="60" t="n"/>
    </row>
    <row r="3744">
      <c r="C3744" s="60" t="n"/>
      <c r="D3744" s="60" t="n"/>
    </row>
    <row r="3745">
      <c r="C3745" s="60" t="n"/>
      <c r="D3745" s="60" t="n"/>
    </row>
    <row r="3746">
      <c r="C3746" s="60" t="n"/>
      <c r="D3746" s="60" t="n"/>
    </row>
    <row r="3747">
      <c r="C3747" s="60" t="n"/>
      <c r="D3747" s="60" t="n"/>
    </row>
    <row r="3748">
      <c r="C3748" s="60" t="n"/>
      <c r="D3748" s="60" t="n"/>
    </row>
    <row r="3749">
      <c r="C3749" s="60" t="n"/>
      <c r="D3749" s="60" t="n"/>
    </row>
    <row r="3750">
      <c r="C3750" s="60" t="n"/>
      <c r="D3750" s="60" t="n"/>
    </row>
    <row r="3751">
      <c r="C3751" s="60" t="n"/>
      <c r="D3751" s="60" t="n"/>
    </row>
    <row r="3752">
      <c r="C3752" s="60" t="n"/>
      <c r="D3752" s="60" t="n"/>
    </row>
    <row r="3753">
      <c r="C3753" s="60" t="n"/>
      <c r="D3753" s="60" t="n"/>
    </row>
    <row r="3754">
      <c r="C3754" s="60" t="n"/>
      <c r="D3754" s="60" t="n"/>
    </row>
    <row r="3755">
      <c r="C3755" s="60" t="n"/>
      <c r="D3755" s="60" t="n"/>
    </row>
    <row r="3756">
      <c r="C3756" s="60" t="n"/>
      <c r="D3756" s="60" t="n"/>
    </row>
    <row r="3757">
      <c r="C3757" s="60" t="n"/>
      <c r="D3757" s="60" t="n"/>
    </row>
    <row r="3758">
      <c r="C3758" s="60" t="n"/>
      <c r="D3758" s="60" t="n"/>
    </row>
    <row r="3759">
      <c r="C3759" s="60" t="n"/>
      <c r="D3759" s="60" t="n"/>
    </row>
    <row r="3760">
      <c r="C3760" s="60" t="n"/>
      <c r="D3760" s="60" t="n"/>
    </row>
    <row r="3761">
      <c r="C3761" s="60" t="n"/>
      <c r="D3761" s="60" t="n"/>
    </row>
    <row r="3762">
      <c r="C3762" s="60" t="n"/>
      <c r="D3762" s="60" t="n"/>
    </row>
    <row r="3763">
      <c r="C3763" s="60" t="n"/>
      <c r="D3763" s="60" t="n"/>
    </row>
    <row r="3764">
      <c r="C3764" s="60" t="n"/>
      <c r="D3764" s="60" t="n"/>
    </row>
    <row r="3765">
      <c r="C3765" s="60" t="n"/>
      <c r="D3765" s="60" t="n"/>
    </row>
    <row r="3766">
      <c r="C3766" s="60" t="n"/>
      <c r="D3766" s="60" t="n"/>
    </row>
    <row r="3767">
      <c r="C3767" s="60" t="n"/>
      <c r="D3767" s="60" t="n"/>
    </row>
    <row r="3768">
      <c r="C3768" s="60" t="n"/>
      <c r="D3768" s="60" t="n"/>
    </row>
    <row r="3769">
      <c r="C3769" s="60" t="n"/>
      <c r="D3769" s="60" t="n"/>
    </row>
    <row r="3770">
      <c r="C3770" s="60" t="n"/>
      <c r="D3770" s="60" t="n"/>
    </row>
    <row r="3771">
      <c r="C3771" s="60" t="n"/>
      <c r="D3771" s="60" t="n"/>
    </row>
    <row r="3772">
      <c r="C3772" s="60" t="n"/>
      <c r="D3772" s="60" t="n"/>
    </row>
    <row r="3773">
      <c r="C3773" s="60" t="n"/>
      <c r="D3773" s="60" t="n"/>
    </row>
    <row r="3774">
      <c r="C3774" s="60" t="n"/>
      <c r="D3774" s="60" t="n"/>
    </row>
    <row r="3775">
      <c r="C3775" s="60" t="n"/>
      <c r="D3775" s="60" t="n"/>
    </row>
    <row r="3776">
      <c r="C3776" s="60" t="n"/>
      <c r="D3776" s="60" t="n"/>
    </row>
    <row r="3777">
      <c r="C3777" s="60" t="n"/>
      <c r="D3777" s="60" t="n"/>
    </row>
    <row r="3778">
      <c r="C3778" s="60" t="n"/>
      <c r="D3778" s="60" t="n"/>
    </row>
    <row r="3779">
      <c r="C3779" s="60" t="n"/>
      <c r="D3779" s="60" t="n"/>
    </row>
    <row r="3780">
      <c r="C3780" s="60" t="n"/>
      <c r="D3780" s="60" t="n"/>
    </row>
    <row r="3781">
      <c r="C3781" s="60" t="n"/>
      <c r="D3781" s="60" t="n"/>
    </row>
    <row r="3782">
      <c r="C3782" s="60" t="n"/>
      <c r="D3782" s="60" t="n"/>
    </row>
    <row r="3783">
      <c r="C3783" s="60" t="n"/>
      <c r="D3783" s="60" t="n"/>
    </row>
    <row r="3784">
      <c r="C3784" s="60" t="n"/>
      <c r="D3784" s="60" t="n"/>
    </row>
    <row r="3785">
      <c r="C3785" s="60" t="n"/>
      <c r="D3785" s="60" t="n"/>
    </row>
    <row r="3786">
      <c r="C3786" s="60" t="n"/>
      <c r="D3786" s="60" t="n"/>
    </row>
    <row r="3787">
      <c r="C3787" s="60" t="n"/>
      <c r="D3787" s="60" t="n"/>
    </row>
    <row r="3788">
      <c r="C3788" s="60" t="n"/>
      <c r="D3788" s="60" t="n"/>
    </row>
    <row r="3789">
      <c r="C3789" s="60" t="n"/>
      <c r="D3789" s="60" t="n"/>
    </row>
    <row r="3790">
      <c r="C3790" s="60" t="n"/>
      <c r="D3790" s="60" t="n"/>
    </row>
    <row r="3791">
      <c r="C3791" s="60" t="n"/>
      <c r="D3791" s="60" t="n"/>
    </row>
    <row r="3792">
      <c r="C3792" s="60" t="n"/>
      <c r="D3792" s="60" t="n"/>
    </row>
    <row r="3793">
      <c r="C3793" s="60" t="n"/>
      <c r="D3793" s="60" t="n"/>
    </row>
    <row r="3794">
      <c r="C3794" s="60" t="n"/>
      <c r="D3794" s="60" t="n"/>
    </row>
    <row r="3795">
      <c r="C3795" s="60" t="n"/>
      <c r="D3795" s="60" t="n"/>
    </row>
    <row r="3796">
      <c r="C3796" s="60" t="n"/>
      <c r="D3796" s="60" t="n"/>
    </row>
    <row r="3797">
      <c r="C3797" s="60" t="n"/>
      <c r="D3797" s="60" t="n"/>
    </row>
    <row r="3798">
      <c r="C3798" s="60" t="n"/>
      <c r="D3798" s="60" t="n"/>
    </row>
    <row r="3799">
      <c r="C3799" s="60" t="n"/>
      <c r="D3799" s="60" t="n"/>
    </row>
    <row r="3800">
      <c r="C3800" s="60" t="n"/>
      <c r="D3800" s="60" t="n"/>
    </row>
    <row r="3801">
      <c r="C3801" s="60" t="n"/>
      <c r="D3801" s="60" t="n"/>
    </row>
    <row r="3802">
      <c r="C3802" s="60" t="n"/>
      <c r="D3802" s="60" t="n"/>
    </row>
    <row r="3803">
      <c r="C3803" s="60" t="n"/>
      <c r="D3803" s="60" t="n"/>
    </row>
    <row r="3804">
      <c r="C3804" s="60" t="n"/>
      <c r="D3804" s="60" t="n"/>
    </row>
    <row r="3805">
      <c r="C3805" s="60" t="n"/>
      <c r="D3805" s="60" t="n"/>
    </row>
    <row r="3806">
      <c r="C3806" s="60" t="n"/>
      <c r="D3806" s="60" t="n"/>
    </row>
    <row r="3807">
      <c r="C3807" s="60" t="n"/>
      <c r="D3807" s="60" t="n"/>
    </row>
    <row r="3808">
      <c r="C3808" s="60" t="n"/>
      <c r="D3808" s="60" t="n"/>
    </row>
    <row r="3809">
      <c r="C3809" s="60" t="n"/>
      <c r="D3809" s="60" t="n"/>
    </row>
    <row r="3810">
      <c r="C3810" s="60" t="n"/>
      <c r="D3810" s="60" t="n"/>
    </row>
    <row r="3811">
      <c r="C3811" s="60" t="n"/>
      <c r="D3811" s="60" t="n"/>
    </row>
    <row r="3812">
      <c r="C3812" s="60" t="n"/>
      <c r="D3812" s="60" t="n"/>
    </row>
    <row r="3813">
      <c r="C3813" s="60" t="n"/>
      <c r="D3813" s="60" t="n"/>
    </row>
    <row r="3814">
      <c r="C3814" s="60" t="n"/>
      <c r="D3814" s="60" t="n"/>
    </row>
    <row r="3815">
      <c r="C3815" s="60" t="n"/>
      <c r="D3815" s="60" t="n"/>
    </row>
    <row r="3816">
      <c r="C3816" s="60" t="n"/>
      <c r="D3816" s="60" t="n"/>
    </row>
    <row r="3817">
      <c r="C3817" s="60" t="n"/>
      <c r="D3817" s="60" t="n"/>
    </row>
    <row r="3818">
      <c r="C3818" s="60" t="n"/>
      <c r="D3818" s="60" t="n"/>
    </row>
    <row r="3819">
      <c r="C3819" s="60" t="n"/>
      <c r="D3819" s="60" t="n"/>
    </row>
    <row r="3820">
      <c r="C3820" s="60" t="n"/>
      <c r="D3820" s="60" t="n"/>
    </row>
    <row r="3821">
      <c r="C3821" s="60" t="n"/>
      <c r="D3821" s="60" t="n"/>
    </row>
    <row r="3822">
      <c r="C3822" s="60" t="n"/>
      <c r="D3822" s="60" t="n"/>
    </row>
    <row r="3823">
      <c r="C3823" s="60" t="n"/>
      <c r="D3823" s="60" t="n"/>
    </row>
    <row r="3824">
      <c r="C3824" s="60" t="n"/>
      <c r="D3824" s="60" t="n"/>
    </row>
    <row r="3825">
      <c r="C3825" s="60" t="n"/>
      <c r="D3825" s="60" t="n"/>
    </row>
    <row r="3826">
      <c r="C3826" s="60" t="n"/>
      <c r="D3826" s="60" t="n"/>
    </row>
    <row r="3827">
      <c r="C3827" s="60" t="n"/>
      <c r="D3827" s="60" t="n"/>
    </row>
    <row r="3828">
      <c r="C3828" s="60" t="n"/>
      <c r="D3828" s="60" t="n"/>
    </row>
    <row r="3829">
      <c r="C3829" s="60" t="n"/>
      <c r="D3829" s="60" t="n"/>
    </row>
    <row r="3830">
      <c r="C3830" s="60" t="n"/>
      <c r="D3830" s="60" t="n"/>
    </row>
    <row r="3831">
      <c r="C3831" s="60" t="n"/>
      <c r="D3831" s="60" t="n"/>
    </row>
    <row r="3832">
      <c r="C3832" s="60" t="n"/>
      <c r="D3832" s="60" t="n"/>
    </row>
    <row r="3833">
      <c r="C3833" s="60" t="n"/>
      <c r="D3833" s="60" t="n"/>
    </row>
    <row r="3834">
      <c r="C3834" s="60" t="n"/>
      <c r="D3834" s="60" t="n"/>
    </row>
    <row r="3835">
      <c r="C3835" s="60" t="n"/>
      <c r="D3835" s="60" t="n"/>
    </row>
    <row r="3836">
      <c r="C3836" s="60" t="n"/>
      <c r="D3836" s="60" t="n"/>
    </row>
    <row r="3837">
      <c r="C3837" s="60" t="n"/>
      <c r="D3837" s="60" t="n"/>
    </row>
    <row r="3838">
      <c r="C3838" s="60" t="n"/>
      <c r="D3838" s="60" t="n"/>
    </row>
    <row r="3839">
      <c r="C3839" s="60" t="n"/>
      <c r="D3839" s="60" t="n"/>
    </row>
    <row r="3840">
      <c r="C3840" s="60" t="n"/>
      <c r="D3840" s="60" t="n"/>
    </row>
    <row r="3841">
      <c r="C3841" s="60" t="n"/>
      <c r="D3841" s="60" t="n"/>
    </row>
    <row r="3842">
      <c r="C3842" s="60" t="n"/>
      <c r="D3842" s="60" t="n"/>
    </row>
    <row r="3843">
      <c r="C3843" s="60" t="n"/>
      <c r="D3843" s="60" t="n"/>
    </row>
    <row r="3844">
      <c r="C3844" s="60" t="n"/>
      <c r="D3844" s="60" t="n"/>
    </row>
    <row r="3845">
      <c r="C3845" s="60" t="n"/>
      <c r="D3845" s="60" t="n"/>
    </row>
    <row r="3846">
      <c r="C3846" s="60" t="n"/>
      <c r="D3846" s="60" t="n"/>
    </row>
    <row r="3847">
      <c r="C3847" s="60" t="n"/>
      <c r="D3847" s="60" t="n"/>
    </row>
    <row r="3848">
      <c r="C3848" s="60" t="n"/>
      <c r="D3848" s="60" t="n"/>
    </row>
    <row r="3849">
      <c r="C3849" s="60" t="n"/>
      <c r="D3849" s="60" t="n"/>
    </row>
    <row r="3850">
      <c r="C3850" s="60" t="n"/>
      <c r="D3850" s="60" t="n"/>
    </row>
    <row r="3851">
      <c r="C3851" s="60" t="n"/>
      <c r="D3851" s="60" t="n"/>
    </row>
    <row r="3852">
      <c r="C3852" s="60" t="n"/>
      <c r="D3852" s="60" t="n"/>
    </row>
    <row r="3853">
      <c r="C3853" s="60" t="n"/>
      <c r="D3853" s="60" t="n"/>
    </row>
    <row r="3854">
      <c r="C3854" s="60" t="n"/>
      <c r="D3854" s="60" t="n"/>
    </row>
    <row r="3855">
      <c r="C3855" s="60" t="n"/>
      <c r="D3855" s="60" t="n"/>
    </row>
    <row r="3856">
      <c r="C3856" s="60" t="n"/>
      <c r="D3856" s="60" t="n"/>
    </row>
    <row r="3857">
      <c r="C3857" s="60" t="n"/>
      <c r="D3857" s="60" t="n"/>
    </row>
    <row r="3858">
      <c r="C3858" s="60" t="n"/>
      <c r="D3858" s="60" t="n"/>
    </row>
    <row r="3859">
      <c r="C3859" s="60" t="n"/>
      <c r="D3859" s="60" t="n"/>
    </row>
    <row r="3860">
      <c r="C3860" s="60" t="n"/>
      <c r="D3860" s="60" t="n"/>
    </row>
    <row r="3861">
      <c r="C3861" s="60" t="n"/>
      <c r="D3861" s="60" t="n"/>
    </row>
    <row r="3862">
      <c r="C3862" s="60" t="n"/>
      <c r="D3862" s="60" t="n"/>
    </row>
    <row r="3863">
      <c r="C3863" s="60" t="n"/>
      <c r="D3863" s="60" t="n"/>
    </row>
    <row r="3864">
      <c r="C3864" s="60" t="n"/>
      <c r="D3864" s="60" t="n"/>
    </row>
    <row r="3865">
      <c r="C3865" s="60" t="n"/>
      <c r="D3865" s="60" t="n"/>
    </row>
    <row r="3866">
      <c r="C3866" s="60" t="n"/>
      <c r="D3866" s="60" t="n"/>
    </row>
    <row r="3867">
      <c r="C3867" s="60" t="n"/>
      <c r="D3867" s="60" t="n"/>
    </row>
    <row r="3868">
      <c r="C3868" s="60" t="n"/>
      <c r="D3868" s="60" t="n"/>
    </row>
    <row r="3869">
      <c r="C3869" s="60" t="n"/>
      <c r="D3869" s="60" t="n"/>
    </row>
    <row r="3870">
      <c r="C3870" s="60" t="n"/>
      <c r="D3870" s="60" t="n"/>
    </row>
    <row r="3871">
      <c r="C3871" s="60" t="n"/>
      <c r="D3871" s="60" t="n"/>
    </row>
    <row r="3872">
      <c r="C3872" s="60" t="n"/>
      <c r="D3872" s="60" t="n"/>
    </row>
    <row r="3873">
      <c r="C3873" s="60" t="n"/>
      <c r="D3873" s="60" t="n"/>
    </row>
    <row r="3874">
      <c r="C3874" s="60" t="n"/>
      <c r="D3874" s="60" t="n"/>
    </row>
    <row r="3875">
      <c r="C3875" s="60" t="n"/>
      <c r="D3875" s="60" t="n"/>
    </row>
    <row r="3876">
      <c r="C3876" s="60" t="n"/>
      <c r="D3876" s="60" t="n"/>
    </row>
    <row r="3877">
      <c r="C3877" s="60" t="n"/>
      <c r="D3877" s="60" t="n"/>
    </row>
    <row r="3878">
      <c r="C3878" s="60" t="n"/>
      <c r="D3878" s="60" t="n"/>
    </row>
    <row r="3879">
      <c r="C3879" s="60" t="n"/>
      <c r="D3879" s="60" t="n"/>
    </row>
    <row r="3880">
      <c r="C3880" s="60" t="n"/>
      <c r="D3880" s="60" t="n"/>
    </row>
    <row r="3881">
      <c r="C3881" s="60" t="n"/>
      <c r="D3881" s="60" t="n"/>
    </row>
    <row r="3882">
      <c r="C3882" s="60" t="n"/>
      <c r="D3882" s="60" t="n"/>
    </row>
    <row r="3883">
      <c r="C3883" s="60" t="n"/>
      <c r="D3883" s="60" t="n"/>
    </row>
    <row r="3884">
      <c r="C3884" s="60" t="n"/>
      <c r="D3884" s="60" t="n"/>
    </row>
    <row r="3885">
      <c r="C3885" s="60" t="n"/>
      <c r="D3885" s="60" t="n"/>
    </row>
    <row r="3886">
      <c r="C3886" s="60" t="n"/>
      <c r="D3886" s="60" t="n"/>
    </row>
    <row r="3887">
      <c r="C3887" s="60" t="n"/>
      <c r="D3887" s="60" t="n"/>
    </row>
    <row r="3888">
      <c r="C3888" s="60" t="n"/>
      <c r="D3888" s="60" t="n"/>
    </row>
    <row r="3889">
      <c r="C3889" s="60" t="n"/>
      <c r="D3889" s="60" t="n"/>
    </row>
    <row r="3890">
      <c r="C3890" s="60" t="n"/>
      <c r="D3890" s="60" t="n"/>
    </row>
    <row r="3891">
      <c r="C3891" s="60" t="n"/>
      <c r="D3891" s="60" t="n"/>
    </row>
    <row r="3892">
      <c r="C3892" s="60" t="n"/>
      <c r="D3892" s="60" t="n"/>
    </row>
    <row r="3893">
      <c r="C3893" s="60" t="n"/>
      <c r="D3893" s="60" t="n"/>
    </row>
    <row r="3894">
      <c r="C3894" s="60" t="n"/>
      <c r="D3894" s="60" t="n"/>
    </row>
    <row r="3895">
      <c r="C3895" s="60" t="n"/>
      <c r="D3895" s="60" t="n"/>
    </row>
    <row r="3896">
      <c r="C3896" s="60" t="n"/>
      <c r="D3896" s="60" t="n"/>
    </row>
    <row r="3897">
      <c r="C3897" s="60" t="n"/>
      <c r="D3897" s="60" t="n"/>
    </row>
    <row r="3898">
      <c r="C3898" s="60" t="n"/>
      <c r="D3898" s="60" t="n"/>
    </row>
    <row r="3899">
      <c r="C3899" s="60" t="n"/>
      <c r="D3899" s="60" t="n"/>
    </row>
    <row r="3900">
      <c r="C3900" s="60" t="n"/>
      <c r="D3900" s="60" t="n"/>
    </row>
    <row r="3901">
      <c r="C3901" s="60" t="n"/>
      <c r="D3901" s="60" t="n"/>
    </row>
    <row r="3902">
      <c r="C3902" s="60" t="n"/>
      <c r="D3902" s="60" t="n"/>
    </row>
    <row r="3903">
      <c r="C3903" s="60" t="n"/>
      <c r="D3903" s="60" t="n"/>
    </row>
    <row r="3904">
      <c r="C3904" s="60" t="n"/>
      <c r="D3904" s="60" t="n"/>
    </row>
    <row r="3905">
      <c r="C3905" s="60" t="n"/>
      <c r="D3905" s="60" t="n"/>
    </row>
    <row r="3906">
      <c r="C3906" s="60" t="n"/>
      <c r="D3906" s="60" t="n"/>
    </row>
    <row r="3907">
      <c r="C3907" s="60" t="n"/>
      <c r="D3907" s="60" t="n"/>
    </row>
    <row r="3908">
      <c r="C3908" s="60" t="n"/>
      <c r="D3908" s="60" t="n"/>
    </row>
    <row r="3909">
      <c r="C3909" s="60" t="n"/>
      <c r="D3909" s="60" t="n"/>
    </row>
    <row r="3910">
      <c r="C3910" s="60" t="n"/>
      <c r="D3910" s="60" t="n"/>
    </row>
    <row r="3911">
      <c r="C3911" s="60" t="n"/>
      <c r="D3911" s="60" t="n"/>
    </row>
    <row r="3912">
      <c r="C3912" s="60" t="n"/>
      <c r="D3912" s="60" t="n"/>
    </row>
    <row r="3913">
      <c r="C3913" s="60" t="n"/>
      <c r="D3913" s="60" t="n"/>
    </row>
    <row r="3914">
      <c r="C3914" s="60" t="n"/>
      <c r="D3914" s="60" t="n"/>
    </row>
    <row r="3915">
      <c r="C3915" s="60" t="n"/>
      <c r="D3915" s="60" t="n"/>
    </row>
    <row r="3916">
      <c r="C3916" s="60" t="n"/>
      <c r="D3916" s="60" t="n"/>
    </row>
    <row r="3917">
      <c r="C3917" s="60" t="n"/>
      <c r="D3917" s="60" t="n"/>
    </row>
    <row r="3918">
      <c r="C3918" s="60" t="n"/>
      <c r="D3918" s="60" t="n"/>
    </row>
    <row r="3919">
      <c r="C3919" s="60" t="n"/>
      <c r="D3919" s="60" t="n"/>
    </row>
    <row r="3920">
      <c r="C3920" s="60" t="n"/>
      <c r="D3920" s="60" t="n"/>
    </row>
    <row r="3921">
      <c r="C3921" s="60" t="n"/>
      <c r="D3921" s="60" t="n"/>
    </row>
    <row r="3922">
      <c r="C3922" s="60" t="n"/>
      <c r="D3922" s="60" t="n"/>
    </row>
    <row r="3923">
      <c r="C3923" s="60" t="n"/>
      <c r="D3923" s="60" t="n"/>
    </row>
    <row r="3924">
      <c r="C3924" s="60" t="n"/>
      <c r="D3924" s="60" t="n"/>
    </row>
    <row r="3925">
      <c r="C3925" s="60" t="n"/>
      <c r="D3925" s="60" t="n"/>
    </row>
    <row r="3926">
      <c r="C3926" s="60" t="n"/>
      <c r="D3926" s="60" t="n"/>
    </row>
    <row r="3927">
      <c r="C3927" s="60" t="n"/>
      <c r="D3927" s="60" t="n"/>
    </row>
    <row r="3928">
      <c r="C3928" s="60" t="n"/>
      <c r="D3928" s="60" t="n"/>
    </row>
    <row r="3929">
      <c r="C3929" s="60" t="n"/>
      <c r="D3929" s="60" t="n"/>
    </row>
    <row r="3930">
      <c r="C3930" s="60" t="n"/>
      <c r="D3930" s="60" t="n"/>
    </row>
    <row r="3931">
      <c r="C3931" s="60" t="n"/>
      <c r="D3931" s="60" t="n"/>
    </row>
    <row r="3932">
      <c r="C3932" s="60" t="n"/>
      <c r="D3932" s="60" t="n"/>
    </row>
    <row r="3933">
      <c r="C3933" s="60" t="n"/>
      <c r="D3933" s="60" t="n"/>
    </row>
    <row r="3934">
      <c r="C3934" s="60" t="n"/>
      <c r="D3934" s="60" t="n"/>
    </row>
    <row r="3935">
      <c r="C3935" s="60" t="n"/>
      <c r="D3935" s="60" t="n"/>
    </row>
    <row r="3936">
      <c r="C3936" s="60" t="n"/>
      <c r="D3936" s="60" t="n"/>
    </row>
    <row r="3937">
      <c r="C3937" s="60" t="n"/>
      <c r="D3937" s="60" t="n"/>
    </row>
    <row r="3938">
      <c r="C3938" s="60" t="n"/>
      <c r="D3938" s="60" t="n"/>
    </row>
    <row r="3939">
      <c r="C3939" s="60" t="n"/>
      <c r="D3939" s="60" t="n"/>
    </row>
    <row r="3940">
      <c r="C3940" s="60" t="n"/>
      <c r="D3940" s="60" t="n"/>
    </row>
    <row r="3941">
      <c r="C3941" s="60" t="n"/>
      <c r="D3941" s="60" t="n"/>
    </row>
    <row r="3942">
      <c r="C3942" s="60" t="n"/>
      <c r="D3942" s="60" t="n"/>
    </row>
    <row r="3943">
      <c r="C3943" s="60" t="n"/>
      <c r="D3943" s="60" t="n"/>
    </row>
    <row r="3944">
      <c r="C3944" s="60" t="n"/>
      <c r="D3944" s="60" t="n"/>
    </row>
    <row r="3945">
      <c r="C3945" s="60" t="n"/>
      <c r="D3945" s="60" t="n"/>
    </row>
    <row r="3946">
      <c r="C3946" s="60" t="n"/>
      <c r="D3946" s="60" t="n"/>
    </row>
    <row r="3947">
      <c r="C3947" s="60" t="n"/>
      <c r="D3947" s="60" t="n"/>
    </row>
    <row r="3948">
      <c r="C3948" s="60" t="n"/>
      <c r="D3948" s="60" t="n"/>
    </row>
    <row r="3949">
      <c r="C3949" s="60" t="n"/>
      <c r="D3949" s="60" t="n"/>
    </row>
    <row r="3950">
      <c r="C3950" s="60" t="n"/>
      <c r="D3950" s="60" t="n"/>
    </row>
    <row r="3951">
      <c r="C3951" s="60" t="n"/>
      <c r="D3951" s="60" t="n"/>
    </row>
    <row r="3952">
      <c r="C3952" s="60" t="n"/>
      <c r="D3952" s="60" t="n"/>
    </row>
    <row r="3953">
      <c r="C3953" s="60" t="n"/>
      <c r="D3953" s="60" t="n"/>
    </row>
    <row r="3954">
      <c r="C3954" s="60" t="n"/>
      <c r="D3954" s="60" t="n"/>
    </row>
    <row r="3955">
      <c r="C3955" s="60" t="n"/>
      <c r="D3955" s="60" t="n"/>
    </row>
    <row r="3956">
      <c r="C3956" s="60" t="n"/>
      <c r="D3956" s="60" t="n"/>
    </row>
    <row r="3957">
      <c r="C3957" s="60" t="n"/>
      <c r="D3957" s="60" t="n"/>
    </row>
    <row r="3958">
      <c r="C3958" s="60" t="n"/>
      <c r="D3958" s="60" t="n"/>
    </row>
    <row r="3959">
      <c r="C3959" s="60" t="n"/>
      <c r="D3959" s="60" t="n"/>
    </row>
    <row r="3960">
      <c r="C3960" s="60" t="n"/>
      <c r="D3960" s="60" t="n"/>
    </row>
    <row r="3961">
      <c r="C3961" s="60" t="n"/>
      <c r="D3961" s="60" t="n"/>
    </row>
    <row r="3962">
      <c r="C3962" s="60" t="n"/>
      <c r="D3962" s="60" t="n"/>
    </row>
    <row r="3963">
      <c r="C3963" s="60" t="n"/>
      <c r="D3963" s="60" t="n"/>
    </row>
    <row r="3964">
      <c r="C3964" s="60" t="n"/>
      <c r="D3964" s="60" t="n"/>
    </row>
    <row r="3965">
      <c r="C3965" s="60" t="n"/>
      <c r="D3965" s="60" t="n"/>
    </row>
    <row r="3966">
      <c r="C3966" s="60" t="n"/>
      <c r="D3966" s="60" t="n"/>
    </row>
    <row r="3967">
      <c r="C3967" s="60" t="n"/>
      <c r="D3967" s="60" t="n"/>
    </row>
    <row r="3968">
      <c r="C3968" s="60" t="n"/>
      <c r="D3968" s="60" t="n"/>
    </row>
    <row r="3969">
      <c r="C3969" s="60" t="n"/>
      <c r="D3969" s="60" t="n"/>
    </row>
    <row r="3970">
      <c r="C3970" s="60" t="n"/>
      <c r="D3970" s="60" t="n"/>
    </row>
    <row r="3971">
      <c r="C3971" s="60" t="n"/>
      <c r="D3971" s="60" t="n"/>
    </row>
    <row r="3972">
      <c r="C3972" s="60" t="n"/>
      <c r="D3972" s="60" t="n"/>
    </row>
    <row r="3973">
      <c r="C3973" s="60" t="n"/>
      <c r="D3973" s="60" t="n"/>
    </row>
    <row r="3974">
      <c r="C3974" s="60" t="n"/>
      <c r="D3974" s="60" t="n"/>
    </row>
    <row r="3975">
      <c r="C3975" s="60" t="n"/>
      <c r="D3975" s="60" t="n"/>
    </row>
    <row r="3976">
      <c r="C3976" s="60" t="n"/>
      <c r="D3976" s="60" t="n"/>
    </row>
    <row r="3977">
      <c r="C3977" s="60" t="n"/>
      <c r="D3977" s="60" t="n"/>
    </row>
    <row r="3978">
      <c r="C3978" s="60" t="n"/>
      <c r="D3978" s="60" t="n"/>
    </row>
    <row r="3979">
      <c r="C3979" s="60" t="n"/>
      <c r="D3979" s="60" t="n"/>
    </row>
    <row r="3980">
      <c r="C3980" s="60" t="n"/>
      <c r="D3980" s="60" t="n"/>
    </row>
    <row r="3981">
      <c r="C3981" s="60" t="n"/>
      <c r="D3981" s="60" t="n"/>
    </row>
    <row r="3982">
      <c r="C3982" s="60" t="n"/>
      <c r="D3982" s="60" t="n"/>
    </row>
    <row r="3983">
      <c r="C3983" s="60" t="n"/>
      <c r="D3983" s="60" t="n"/>
    </row>
    <row r="3984">
      <c r="C3984" s="60" t="n"/>
      <c r="D3984" s="60" t="n"/>
    </row>
    <row r="3985">
      <c r="C3985" s="60" t="n"/>
      <c r="D3985" s="60" t="n"/>
    </row>
    <row r="3986">
      <c r="C3986" s="60" t="n"/>
      <c r="D3986" s="60" t="n"/>
    </row>
    <row r="3987">
      <c r="C3987" s="60" t="n"/>
      <c r="D3987" s="60" t="n"/>
    </row>
    <row r="3988">
      <c r="C3988" s="60" t="n"/>
      <c r="D3988" s="60" t="n"/>
    </row>
    <row r="3989">
      <c r="C3989" s="60" t="n"/>
      <c r="D3989" s="60" t="n"/>
    </row>
    <row r="3990">
      <c r="C3990" s="60" t="n"/>
      <c r="D3990" s="60" t="n"/>
    </row>
    <row r="3991">
      <c r="C3991" s="60" t="n"/>
      <c r="D3991" s="60" t="n"/>
    </row>
    <row r="3992">
      <c r="C3992" s="60" t="n"/>
      <c r="D3992" s="60" t="n"/>
    </row>
    <row r="3993">
      <c r="C3993" s="60" t="n"/>
      <c r="D3993" s="60" t="n"/>
    </row>
    <row r="3994">
      <c r="C3994" s="60" t="n"/>
      <c r="D3994" s="60" t="n"/>
    </row>
    <row r="3995">
      <c r="C3995" s="60" t="n"/>
      <c r="D3995" s="60" t="n"/>
    </row>
    <row r="3996">
      <c r="C3996" s="60" t="n"/>
      <c r="D3996" s="60" t="n"/>
    </row>
    <row r="3997">
      <c r="C3997" s="60" t="n"/>
      <c r="D3997" s="60" t="n"/>
    </row>
    <row r="3998">
      <c r="C3998" s="60" t="n"/>
      <c r="D3998" s="60" t="n"/>
    </row>
    <row r="3999">
      <c r="C3999" s="60" t="n"/>
      <c r="D3999" s="60" t="n"/>
    </row>
    <row r="4000">
      <c r="C4000" s="60" t="n"/>
      <c r="D4000" s="60" t="n"/>
    </row>
    <row r="4001">
      <c r="C4001" s="60" t="n"/>
      <c r="D4001" s="60" t="n"/>
    </row>
    <row r="4002">
      <c r="C4002" s="60" t="n"/>
      <c r="D4002" s="60" t="n"/>
    </row>
    <row r="4003">
      <c r="C4003" s="60" t="n"/>
      <c r="D4003" s="60" t="n"/>
    </row>
    <row r="4004">
      <c r="C4004" s="60" t="n"/>
      <c r="D4004" s="60" t="n"/>
    </row>
    <row r="4005">
      <c r="C4005" s="60" t="n"/>
      <c r="D4005" s="60" t="n"/>
    </row>
    <row r="4006">
      <c r="C4006" s="60" t="n"/>
      <c r="D4006" s="60" t="n"/>
    </row>
    <row r="4007">
      <c r="C4007" s="60" t="n"/>
      <c r="D4007" s="60" t="n"/>
    </row>
    <row r="4008">
      <c r="C4008" s="60" t="n"/>
      <c r="D4008" s="60" t="n"/>
    </row>
    <row r="4009">
      <c r="C4009" s="60" t="n"/>
      <c r="D4009" s="60" t="n"/>
    </row>
    <row r="4010">
      <c r="C4010" s="60" t="n"/>
      <c r="D4010" s="60" t="n"/>
    </row>
    <row r="4011">
      <c r="C4011" s="60" t="n"/>
      <c r="D4011" s="60" t="n"/>
    </row>
    <row r="4012">
      <c r="C4012" s="60" t="n"/>
      <c r="D4012" s="60" t="n"/>
    </row>
    <row r="4013">
      <c r="C4013" s="60" t="n"/>
      <c r="D4013" s="60" t="n"/>
    </row>
    <row r="4014">
      <c r="C4014" s="60" t="n"/>
      <c r="D4014" s="60" t="n"/>
    </row>
    <row r="4015">
      <c r="C4015" s="60" t="n"/>
      <c r="D4015" s="60" t="n"/>
    </row>
    <row r="4016">
      <c r="C4016" s="60" t="n"/>
      <c r="D4016" s="60" t="n"/>
    </row>
    <row r="4017">
      <c r="C4017" s="60" t="n"/>
      <c r="D4017" s="60" t="n"/>
    </row>
    <row r="4018">
      <c r="C4018" s="60" t="n"/>
      <c r="D4018" s="60" t="n"/>
    </row>
    <row r="4019">
      <c r="C4019" s="60" t="n"/>
      <c r="D4019" s="60" t="n"/>
    </row>
    <row r="4020">
      <c r="C4020" s="60" t="n"/>
      <c r="D4020" s="60" t="n"/>
    </row>
    <row r="4021">
      <c r="C4021" s="60" t="n"/>
      <c r="D4021" s="60" t="n"/>
    </row>
    <row r="4022">
      <c r="C4022" s="60" t="n"/>
      <c r="D4022" s="60" t="n"/>
    </row>
    <row r="4023">
      <c r="C4023" s="60" t="n"/>
      <c r="D4023" s="60" t="n"/>
    </row>
    <row r="4024">
      <c r="C4024" s="60" t="n"/>
      <c r="D4024" s="60" t="n"/>
    </row>
    <row r="4025">
      <c r="C4025" s="60" t="n"/>
      <c r="D4025" s="60" t="n"/>
    </row>
    <row r="4026">
      <c r="C4026" s="60" t="n"/>
      <c r="D4026" s="60" t="n"/>
    </row>
    <row r="4027">
      <c r="C4027" s="60" t="n"/>
      <c r="D4027" s="60" t="n"/>
    </row>
    <row r="4028">
      <c r="C4028" s="60" t="n"/>
      <c r="D4028" s="60" t="n"/>
    </row>
    <row r="4029">
      <c r="C4029" s="60" t="n"/>
      <c r="D4029" s="60" t="n"/>
    </row>
    <row r="4030">
      <c r="C4030" s="60" t="n"/>
      <c r="D4030" s="60" t="n"/>
    </row>
    <row r="4031">
      <c r="C4031" s="60" t="n"/>
      <c r="D4031" s="60" t="n"/>
    </row>
    <row r="4032">
      <c r="C4032" s="60" t="n"/>
      <c r="D4032" s="60" t="n"/>
    </row>
    <row r="4033">
      <c r="C4033" s="60" t="n"/>
      <c r="D4033" s="60" t="n"/>
    </row>
    <row r="4034">
      <c r="C4034" s="60" t="n"/>
      <c r="D4034" s="60" t="n"/>
    </row>
    <row r="4035">
      <c r="C4035" s="60" t="n"/>
      <c r="D4035" s="60" t="n"/>
    </row>
    <row r="4036">
      <c r="C4036" s="60" t="n"/>
      <c r="D4036" s="60" t="n"/>
    </row>
    <row r="4037">
      <c r="C4037" s="60" t="n"/>
      <c r="D4037" s="60" t="n"/>
    </row>
    <row r="4038">
      <c r="C4038" s="60" t="n"/>
      <c r="D4038" s="60" t="n"/>
    </row>
    <row r="4039">
      <c r="C4039" s="60" t="n"/>
      <c r="D4039" s="60" t="n"/>
    </row>
    <row r="4040">
      <c r="C4040" s="60" t="n"/>
      <c r="D4040" s="60" t="n"/>
    </row>
    <row r="4041">
      <c r="C4041" s="60" t="n"/>
      <c r="D4041" s="60" t="n"/>
    </row>
    <row r="4042">
      <c r="C4042" s="60" t="n"/>
      <c r="D4042" s="60" t="n"/>
    </row>
    <row r="4043">
      <c r="C4043" s="60" t="n"/>
      <c r="D4043" s="60" t="n"/>
    </row>
    <row r="4044">
      <c r="C4044" s="60" t="n"/>
      <c r="D4044" s="60" t="n"/>
    </row>
    <row r="4045">
      <c r="C4045" s="60" t="n"/>
      <c r="D4045" s="60" t="n"/>
    </row>
    <row r="4046">
      <c r="C4046" s="60" t="n"/>
      <c r="D4046" s="60" t="n"/>
    </row>
    <row r="4047">
      <c r="C4047" s="60" t="n"/>
      <c r="D4047" s="60" t="n"/>
    </row>
    <row r="4048">
      <c r="C4048" s="60" t="n"/>
      <c r="D4048" s="60" t="n"/>
    </row>
    <row r="4049">
      <c r="C4049" s="60" t="n"/>
      <c r="D4049" s="60" t="n"/>
    </row>
    <row r="4050">
      <c r="C4050" s="60" t="n"/>
      <c r="D4050" s="60" t="n"/>
    </row>
    <row r="4051">
      <c r="C4051" s="60" t="n"/>
      <c r="D4051" s="60" t="n"/>
    </row>
    <row r="4052">
      <c r="C4052" s="60" t="n"/>
      <c r="D4052" s="60" t="n"/>
    </row>
    <row r="4053">
      <c r="C4053" s="60" t="n"/>
      <c r="D4053" s="60" t="n"/>
    </row>
    <row r="4054">
      <c r="C4054" s="60" t="n"/>
      <c r="D4054" s="60" t="n"/>
    </row>
    <row r="4055">
      <c r="C4055" s="60" t="n"/>
      <c r="D4055" s="60" t="n"/>
    </row>
    <row r="4056">
      <c r="C4056" s="60" t="n"/>
      <c r="D4056" s="60" t="n"/>
    </row>
    <row r="4057">
      <c r="C4057" s="60" t="n"/>
      <c r="D4057" s="60" t="n"/>
    </row>
    <row r="4058">
      <c r="C4058" s="60" t="n"/>
      <c r="D4058" s="60" t="n"/>
    </row>
    <row r="4059">
      <c r="C4059" s="60" t="n"/>
      <c r="D4059" s="60" t="n"/>
    </row>
    <row r="4060">
      <c r="C4060" s="60" t="n"/>
      <c r="D4060" s="60" t="n"/>
    </row>
    <row r="4061">
      <c r="C4061" s="60" t="n"/>
      <c r="D4061" s="60" t="n"/>
    </row>
    <row r="4062">
      <c r="C4062" s="60" t="n"/>
      <c r="D4062" s="60" t="n"/>
    </row>
    <row r="4063">
      <c r="C4063" s="60" t="n"/>
      <c r="D4063" s="60" t="n"/>
    </row>
    <row r="4064">
      <c r="C4064" s="60" t="n"/>
      <c r="D4064" s="60" t="n"/>
    </row>
    <row r="4065">
      <c r="C4065" s="60" t="n"/>
      <c r="D4065" s="60" t="n"/>
    </row>
    <row r="4066">
      <c r="C4066" s="60" t="n"/>
      <c r="D4066" s="60" t="n"/>
    </row>
    <row r="4067">
      <c r="C4067" s="60" t="n"/>
      <c r="D4067" s="60" t="n"/>
    </row>
    <row r="4068">
      <c r="C4068" s="60" t="n"/>
      <c r="D4068" s="60" t="n"/>
    </row>
    <row r="4069">
      <c r="C4069" s="60" t="n"/>
      <c r="D4069" s="60" t="n"/>
    </row>
    <row r="4070">
      <c r="C4070" s="60" t="n"/>
      <c r="D4070" s="60" t="n"/>
    </row>
    <row r="4071">
      <c r="C4071" s="60" t="n"/>
      <c r="D4071" s="60" t="n"/>
    </row>
    <row r="4072">
      <c r="C4072" s="60" t="n"/>
      <c r="D4072" s="60" t="n"/>
    </row>
    <row r="4073">
      <c r="C4073" s="60" t="n"/>
      <c r="D4073" s="60" t="n"/>
    </row>
    <row r="4074">
      <c r="C4074" s="60" t="n"/>
      <c r="D4074" s="60" t="n"/>
    </row>
    <row r="4075">
      <c r="C4075" s="60" t="n"/>
      <c r="D4075" s="60" t="n"/>
    </row>
    <row r="4076">
      <c r="C4076" s="60" t="n"/>
      <c r="D4076" s="60" t="n"/>
    </row>
    <row r="4077">
      <c r="C4077" s="60" t="n"/>
      <c r="D4077" s="60" t="n"/>
    </row>
    <row r="4078">
      <c r="C4078" s="60" t="n"/>
      <c r="D4078" s="60" t="n"/>
    </row>
    <row r="4079">
      <c r="C4079" s="60" t="n"/>
      <c r="D4079" s="60" t="n"/>
    </row>
    <row r="4080">
      <c r="C4080" s="60" t="n"/>
      <c r="D4080" s="60" t="n"/>
    </row>
    <row r="4081">
      <c r="C4081" s="60" t="n"/>
      <c r="D4081" s="60" t="n"/>
    </row>
    <row r="4082">
      <c r="C4082" s="60" t="n"/>
      <c r="D4082" s="60" t="n"/>
    </row>
    <row r="4083">
      <c r="C4083" s="60" t="n"/>
      <c r="D4083" s="60" t="n"/>
    </row>
    <row r="4084">
      <c r="C4084" s="60" t="n"/>
      <c r="D4084" s="60" t="n"/>
    </row>
    <row r="4085">
      <c r="C4085" s="60" t="n"/>
      <c r="D4085" s="60" t="n"/>
    </row>
    <row r="4086">
      <c r="C4086" s="60" t="n"/>
      <c r="D4086" s="60" t="n"/>
    </row>
    <row r="4087">
      <c r="C4087" s="60" t="n"/>
      <c r="D4087" s="60" t="n"/>
    </row>
    <row r="4088">
      <c r="C4088" s="60" t="n"/>
      <c r="D4088" s="60" t="n"/>
    </row>
    <row r="4089">
      <c r="C4089" s="60" t="n"/>
      <c r="D4089" s="60" t="n"/>
    </row>
    <row r="4090">
      <c r="C4090" s="60" t="n"/>
      <c r="D4090" s="60" t="n"/>
    </row>
    <row r="4091">
      <c r="C4091" s="60" t="n"/>
      <c r="D4091" s="60" t="n"/>
    </row>
    <row r="4092">
      <c r="C4092" s="60" t="n"/>
      <c r="D4092" s="60" t="n"/>
    </row>
    <row r="4093">
      <c r="C4093" s="60" t="n"/>
      <c r="D4093" s="60" t="n"/>
    </row>
    <row r="4094">
      <c r="C4094" s="60" t="n"/>
      <c r="D4094" s="60" t="n"/>
    </row>
    <row r="4095">
      <c r="C4095" s="60" t="n"/>
      <c r="D4095" s="60" t="n"/>
    </row>
    <row r="4096">
      <c r="C4096" s="60" t="n"/>
      <c r="D4096" s="60" t="n"/>
    </row>
    <row r="4097">
      <c r="C4097" s="60" t="n"/>
      <c r="D4097" s="60" t="n"/>
    </row>
    <row r="4098">
      <c r="C4098" s="60" t="n"/>
      <c r="D4098" s="60" t="n"/>
    </row>
    <row r="4099">
      <c r="C4099" s="60" t="n"/>
      <c r="D4099" s="60" t="n"/>
    </row>
    <row r="4100">
      <c r="C4100" s="60" t="n"/>
      <c r="D4100" s="60" t="n"/>
    </row>
    <row r="4101">
      <c r="C4101" s="60" t="n"/>
      <c r="D4101" s="60" t="n"/>
    </row>
    <row r="4102">
      <c r="C4102" s="60" t="n"/>
      <c r="D4102" s="60" t="n"/>
    </row>
    <row r="4103">
      <c r="C4103" s="60" t="n"/>
      <c r="D4103" s="60" t="n"/>
    </row>
    <row r="4104">
      <c r="C4104" s="60" t="n"/>
      <c r="D4104" s="60" t="n"/>
    </row>
    <row r="4105">
      <c r="C4105" s="60" t="n"/>
      <c r="D4105" s="60" t="n"/>
    </row>
    <row r="4106">
      <c r="C4106" s="60" t="n"/>
      <c r="D4106" s="60" t="n"/>
    </row>
    <row r="4107">
      <c r="C4107" s="60" t="n"/>
      <c r="D4107" s="60" t="n"/>
    </row>
    <row r="4108">
      <c r="C4108" s="60" t="n"/>
      <c r="D4108" s="60" t="n"/>
    </row>
    <row r="4109">
      <c r="C4109" s="60" t="n"/>
      <c r="D4109" s="60" t="n"/>
    </row>
    <row r="4110">
      <c r="C4110" s="60" t="n"/>
      <c r="D4110" s="60" t="n"/>
    </row>
    <row r="4111">
      <c r="C4111" s="60" t="n"/>
      <c r="D4111" s="60" t="n"/>
    </row>
    <row r="4112">
      <c r="C4112" s="60" t="n"/>
      <c r="D4112" s="60" t="n"/>
    </row>
    <row r="4113">
      <c r="C4113" s="60" t="n"/>
      <c r="D4113" s="60" t="n"/>
    </row>
    <row r="4114">
      <c r="C4114" s="60" t="n"/>
      <c r="D4114" s="60" t="n"/>
    </row>
    <row r="4115">
      <c r="C4115" s="60" t="n"/>
      <c r="D4115" s="60" t="n"/>
    </row>
    <row r="4116">
      <c r="C4116" s="60" t="n"/>
      <c r="D4116" s="60" t="n"/>
    </row>
    <row r="4117">
      <c r="C4117" s="60" t="n"/>
      <c r="D4117" s="60" t="n"/>
    </row>
    <row r="4118">
      <c r="C4118" s="60" t="n"/>
      <c r="D4118" s="60" t="n"/>
    </row>
    <row r="4119">
      <c r="C4119" s="60" t="n"/>
      <c r="D4119" s="60" t="n"/>
    </row>
    <row r="4120">
      <c r="C4120" s="60" t="n"/>
      <c r="D4120" s="60" t="n"/>
    </row>
    <row r="4121">
      <c r="C4121" s="60" t="n"/>
      <c r="D4121" s="60" t="n"/>
    </row>
    <row r="4122">
      <c r="C4122" s="60" t="n"/>
      <c r="D4122" s="60" t="n"/>
    </row>
    <row r="4123">
      <c r="C4123" s="60" t="n"/>
      <c r="D4123" s="60" t="n"/>
    </row>
    <row r="4124">
      <c r="C4124" s="60" t="n"/>
      <c r="D4124" s="60" t="n"/>
    </row>
    <row r="4125">
      <c r="C4125" s="60" t="n"/>
      <c r="D4125" s="60" t="n"/>
    </row>
    <row r="4126">
      <c r="C4126" s="60" t="n"/>
      <c r="D4126" s="60" t="n"/>
    </row>
    <row r="4127">
      <c r="C4127" s="60" t="n"/>
      <c r="D4127" s="60" t="n"/>
    </row>
    <row r="4128">
      <c r="C4128" s="60" t="n"/>
      <c r="D4128" s="60" t="n"/>
    </row>
    <row r="4129">
      <c r="C4129" s="60" t="n"/>
      <c r="D4129" s="60" t="n"/>
    </row>
    <row r="4130">
      <c r="C4130" s="60" t="n"/>
      <c r="D4130" s="60" t="n"/>
    </row>
    <row r="4131">
      <c r="C4131" s="60" t="n"/>
      <c r="D4131" s="60" t="n"/>
    </row>
    <row r="4132">
      <c r="C4132" s="60" t="n"/>
      <c r="D4132" s="60" t="n"/>
    </row>
    <row r="4133">
      <c r="C4133" s="60" t="n"/>
      <c r="D4133" s="60" t="n"/>
    </row>
    <row r="4134">
      <c r="C4134" s="60" t="n"/>
      <c r="D4134" s="60" t="n"/>
    </row>
    <row r="4135">
      <c r="C4135" s="60" t="n"/>
      <c r="D4135" s="60" t="n"/>
    </row>
    <row r="4136">
      <c r="C4136" s="60" t="n"/>
      <c r="D4136" s="60" t="n"/>
    </row>
    <row r="4137">
      <c r="C4137" s="60" t="n"/>
      <c r="D4137" s="60" t="n"/>
    </row>
    <row r="4138">
      <c r="C4138" s="60" t="n"/>
      <c r="D4138" s="60" t="n"/>
    </row>
    <row r="4139">
      <c r="C4139" s="60" t="n"/>
      <c r="D4139" s="60" t="n"/>
    </row>
    <row r="4140">
      <c r="C4140" s="60" t="n"/>
      <c r="D4140" s="60" t="n"/>
    </row>
    <row r="4141">
      <c r="C4141" s="60" t="n"/>
      <c r="D4141" s="60" t="n"/>
    </row>
    <row r="4142">
      <c r="C4142" s="60" t="n"/>
      <c r="D4142" s="60" t="n"/>
    </row>
    <row r="4143">
      <c r="C4143" s="60" t="n"/>
      <c r="D4143" s="60" t="n"/>
    </row>
    <row r="4144">
      <c r="C4144" s="60" t="n"/>
      <c r="D4144" s="60" t="n"/>
    </row>
    <row r="4145">
      <c r="C4145" s="60" t="n"/>
      <c r="D4145" s="60" t="n"/>
    </row>
    <row r="4146">
      <c r="C4146" s="60" t="n"/>
      <c r="D4146" s="60" t="n"/>
    </row>
    <row r="4147">
      <c r="C4147" s="60" t="n"/>
      <c r="D4147" s="60" t="n"/>
    </row>
    <row r="4148">
      <c r="C4148" s="60" t="n"/>
      <c r="D4148" s="60" t="n"/>
    </row>
    <row r="4149">
      <c r="C4149" s="60" t="n"/>
      <c r="D4149" s="60" t="n"/>
    </row>
    <row r="4150">
      <c r="C4150" s="60" t="n"/>
      <c r="D4150" s="60" t="n"/>
    </row>
    <row r="4151">
      <c r="C4151" s="60" t="n"/>
      <c r="D4151" s="60" t="n"/>
    </row>
    <row r="4152">
      <c r="C4152" s="60" t="n"/>
      <c r="D4152" s="60" t="n"/>
    </row>
    <row r="4153">
      <c r="C4153" s="60" t="n"/>
      <c r="D4153" s="60" t="n"/>
    </row>
    <row r="4154">
      <c r="C4154" s="60" t="n"/>
      <c r="D4154" s="60" t="n"/>
    </row>
    <row r="4155">
      <c r="C4155" s="60" t="n"/>
      <c r="D4155" s="60" t="n"/>
    </row>
    <row r="4156">
      <c r="C4156" s="60" t="n"/>
      <c r="D4156" s="60" t="n"/>
    </row>
    <row r="4157">
      <c r="C4157" s="60" t="n"/>
      <c r="D4157" s="60" t="n"/>
    </row>
    <row r="4158">
      <c r="C4158" s="60" t="n"/>
      <c r="D4158" s="60" t="n"/>
    </row>
    <row r="4159">
      <c r="C4159" s="60" t="n"/>
      <c r="D4159" s="60" t="n"/>
    </row>
    <row r="4160">
      <c r="C4160" s="60" t="n"/>
      <c r="D4160" s="60" t="n"/>
    </row>
    <row r="4161">
      <c r="C4161" s="60" t="n"/>
      <c r="D4161" s="60" t="n"/>
    </row>
    <row r="4162">
      <c r="C4162" s="60" t="n"/>
      <c r="D4162" s="60" t="n"/>
    </row>
    <row r="4163">
      <c r="C4163" s="60" t="n"/>
      <c r="D4163" s="60" t="n"/>
    </row>
    <row r="4164">
      <c r="C4164" s="60" t="n"/>
      <c r="D4164" s="60" t="n"/>
    </row>
    <row r="4165">
      <c r="C4165" s="60" t="n"/>
      <c r="D4165" s="60" t="n"/>
    </row>
    <row r="4166">
      <c r="C4166" s="60" t="n"/>
      <c r="D4166" s="60" t="n"/>
    </row>
    <row r="4167">
      <c r="C4167" s="60" t="n"/>
      <c r="D4167" s="60" t="n"/>
    </row>
    <row r="4168">
      <c r="C4168" s="60" t="n"/>
      <c r="D4168" s="60" t="n"/>
    </row>
    <row r="4169">
      <c r="C4169" s="60" t="n"/>
      <c r="D4169" s="60" t="n"/>
    </row>
    <row r="4170">
      <c r="C4170" s="60" t="n"/>
      <c r="D4170" s="60" t="n"/>
    </row>
    <row r="4171">
      <c r="C4171" s="60" t="n"/>
      <c r="D4171" s="60" t="n"/>
    </row>
    <row r="4172">
      <c r="C4172" s="60" t="n"/>
      <c r="D4172" s="60" t="n"/>
    </row>
    <row r="4173">
      <c r="C4173" s="60" t="n"/>
      <c r="D4173" s="60" t="n"/>
    </row>
    <row r="4174">
      <c r="C4174" s="60" t="n"/>
      <c r="D4174" s="60" t="n"/>
    </row>
    <row r="4175">
      <c r="C4175" s="60" t="n"/>
      <c r="D4175" s="60" t="n"/>
    </row>
    <row r="4176">
      <c r="C4176" s="60" t="n"/>
      <c r="D4176" s="60" t="n"/>
    </row>
    <row r="4177">
      <c r="C4177" s="60" t="n"/>
      <c r="D4177" s="60" t="n"/>
    </row>
    <row r="4178">
      <c r="C4178" s="60" t="n"/>
      <c r="D4178" s="60" t="n"/>
    </row>
    <row r="4179">
      <c r="C4179" s="60" t="n"/>
      <c r="D4179" s="60" t="n"/>
    </row>
    <row r="4180">
      <c r="C4180" s="60" t="n"/>
      <c r="D4180" s="60" t="n"/>
    </row>
    <row r="4181">
      <c r="C4181" s="60" t="n"/>
      <c r="D4181" s="60" t="n"/>
    </row>
    <row r="4182">
      <c r="C4182" s="60" t="n"/>
      <c r="D4182" s="60" t="n"/>
    </row>
    <row r="4183">
      <c r="C4183" s="60" t="n"/>
      <c r="D4183" s="60" t="n"/>
    </row>
    <row r="4184">
      <c r="C4184" s="60" t="n"/>
      <c r="D4184" s="60" t="n"/>
    </row>
    <row r="4185">
      <c r="C4185" s="60" t="n"/>
      <c r="D4185" s="60" t="n"/>
    </row>
    <row r="4186">
      <c r="C4186" s="60" t="n"/>
      <c r="D4186" s="60" t="n"/>
    </row>
    <row r="4187">
      <c r="C4187" s="60" t="n"/>
      <c r="D4187" s="60" t="n"/>
    </row>
    <row r="4188">
      <c r="C4188" s="60" t="n"/>
      <c r="D4188" s="60" t="n"/>
    </row>
    <row r="4189">
      <c r="C4189" s="60" t="n"/>
      <c r="D4189" s="60" t="n"/>
    </row>
    <row r="4190">
      <c r="C4190" s="60" t="n"/>
      <c r="D4190" s="60" t="n"/>
    </row>
    <row r="4191">
      <c r="C4191" s="60" t="n"/>
      <c r="D4191" s="60" t="n"/>
    </row>
    <row r="4192">
      <c r="C4192" s="60" t="n"/>
      <c r="D4192" s="60" t="n"/>
    </row>
    <row r="4193">
      <c r="C4193" s="60" t="n"/>
      <c r="D4193" s="60" t="n"/>
    </row>
    <row r="4194">
      <c r="C4194" s="60" t="n"/>
      <c r="D4194" s="60" t="n"/>
    </row>
    <row r="4195">
      <c r="C4195" s="60" t="n"/>
      <c r="D4195" s="60" t="n"/>
    </row>
    <row r="4196">
      <c r="C4196" s="60" t="n"/>
      <c r="D4196" s="60" t="n"/>
    </row>
    <row r="4197">
      <c r="C4197" s="60" t="n"/>
      <c r="D4197" s="60" t="n"/>
    </row>
    <row r="4198">
      <c r="C4198" s="60" t="n"/>
      <c r="D4198" s="60" t="n"/>
    </row>
    <row r="4199">
      <c r="C4199" s="60" t="n"/>
      <c r="D4199" s="60" t="n"/>
    </row>
    <row r="4200">
      <c r="C4200" s="60" t="n"/>
      <c r="D4200" s="60" t="n"/>
    </row>
    <row r="4201">
      <c r="C4201" s="60" t="n"/>
      <c r="D4201" s="60" t="n"/>
    </row>
    <row r="4202">
      <c r="C4202" s="60" t="n"/>
      <c r="D4202" s="60" t="n"/>
    </row>
    <row r="4203">
      <c r="C4203" s="60" t="n"/>
      <c r="D4203" s="60" t="n"/>
    </row>
    <row r="4204">
      <c r="C4204" s="60" t="n"/>
      <c r="D4204" s="60" t="n"/>
    </row>
    <row r="4205">
      <c r="C4205" s="60" t="n"/>
      <c r="D4205" s="60" t="n"/>
    </row>
    <row r="4206">
      <c r="C4206" s="60" t="n"/>
      <c r="D4206" s="60" t="n"/>
    </row>
    <row r="4207">
      <c r="C4207" s="60" t="n"/>
      <c r="D4207" s="60" t="n"/>
    </row>
    <row r="4208">
      <c r="C4208" s="60" t="n"/>
      <c r="D4208" s="60" t="n"/>
    </row>
    <row r="4209">
      <c r="C4209" s="60" t="n"/>
      <c r="D4209" s="60" t="n"/>
    </row>
    <row r="4210">
      <c r="C4210" s="60" t="n"/>
      <c r="D4210" s="60" t="n"/>
    </row>
    <row r="4211">
      <c r="C4211" s="60" t="n"/>
      <c r="D4211" s="60" t="n"/>
    </row>
    <row r="4212">
      <c r="C4212" s="60" t="n"/>
      <c r="D4212" s="60" t="n"/>
    </row>
    <row r="4213">
      <c r="C4213" s="60" t="n"/>
      <c r="D4213" s="60" t="n"/>
    </row>
    <row r="4214">
      <c r="C4214" s="60" t="n"/>
      <c r="D4214" s="60" t="n"/>
    </row>
    <row r="4215">
      <c r="C4215" s="60" t="n"/>
      <c r="D4215" s="60" t="n"/>
    </row>
    <row r="4216">
      <c r="C4216" s="60" t="n"/>
      <c r="D4216" s="60" t="n"/>
    </row>
    <row r="4217">
      <c r="C4217" s="60" t="n"/>
      <c r="D4217" s="60" t="n"/>
    </row>
    <row r="4218">
      <c r="C4218" s="60" t="n"/>
      <c r="D4218" s="60" t="n"/>
    </row>
    <row r="4219">
      <c r="C4219" s="60" t="n"/>
      <c r="D4219" s="60" t="n"/>
    </row>
    <row r="4220">
      <c r="C4220" s="60" t="n"/>
      <c r="D4220" s="60" t="n"/>
    </row>
    <row r="4221">
      <c r="C4221" s="60" t="n"/>
      <c r="D4221" s="60" t="n"/>
    </row>
    <row r="4222">
      <c r="C4222" s="60" t="n"/>
      <c r="D4222" s="60" t="n"/>
    </row>
    <row r="4223">
      <c r="C4223" s="60" t="n"/>
      <c r="D4223" s="60" t="n"/>
    </row>
    <row r="4224">
      <c r="C4224" s="60" t="n"/>
      <c r="D4224" s="60" t="n"/>
    </row>
    <row r="4225">
      <c r="C4225" s="60" t="n"/>
      <c r="D4225" s="60" t="n"/>
    </row>
    <row r="4226">
      <c r="C4226" s="60" t="n"/>
      <c r="D4226" s="60" t="n"/>
    </row>
    <row r="4227">
      <c r="C4227" s="60" t="n"/>
      <c r="D4227" s="60" t="n"/>
    </row>
    <row r="4228">
      <c r="C4228" s="60" t="n"/>
      <c r="D4228" s="60" t="n"/>
    </row>
    <row r="4229">
      <c r="C4229" s="60" t="n"/>
      <c r="D4229" s="60" t="n"/>
    </row>
    <row r="4230">
      <c r="C4230" s="60" t="n"/>
      <c r="D4230" s="60" t="n"/>
    </row>
    <row r="4231">
      <c r="C4231" s="60" t="n"/>
      <c r="D4231" s="60" t="n"/>
    </row>
    <row r="4232">
      <c r="C4232" s="60" t="n"/>
      <c r="D4232" s="60" t="n"/>
    </row>
    <row r="4233">
      <c r="C4233" s="60" t="n"/>
      <c r="D4233" s="60" t="n"/>
    </row>
    <row r="4234">
      <c r="C4234" s="60" t="n"/>
      <c r="D4234" s="60" t="n"/>
    </row>
    <row r="4235">
      <c r="C4235" s="60" t="n"/>
      <c r="D4235" s="60" t="n"/>
    </row>
    <row r="4236">
      <c r="C4236" s="60" t="n"/>
      <c r="D4236" s="60" t="n"/>
    </row>
    <row r="4237">
      <c r="C4237" s="60" t="n"/>
      <c r="D4237" s="60" t="n"/>
    </row>
    <row r="4238">
      <c r="C4238" s="60" t="n"/>
      <c r="D4238" s="60" t="n"/>
    </row>
    <row r="4239">
      <c r="C4239" s="60" t="n"/>
      <c r="D4239" s="60" t="n"/>
    </row>
    <row r="4240">
      <c r="C4240" s="60" t="n"/>
      <c r="D4240" s="60" t="n"/>
    </row>
    <row r="4241">
      <c r="C4241" s="60" t="n"/>
      <c r="D4241" s="60" t="n"/>
    </row>
    <row r="4242">
      <c r="C4242" s="60" t="n"/>
      <c r="D4242" s="60" t="n"/>
    </row>
    <row r="4243">
      <c r="C4243" s="60" t="n"/>
      <c r="D4243" s="60" t="n"/>
    </row>
    <row r="4244">
      <c r="C4244" s="60" t="n"/>
      <c r="D4244" s="60" t="n"/>
    </row>
    <row r="4245">
      <c r="C4245" s="60" t="n"/>
      <c r="D4245" s="60" t="n"/>
    </row>
    <row r="4246">
      <c r="C4246" s="60" t="n"/>
      <c r="D4246" s="60" t="n"/>
    </row>
    <row r="4247">
      <c r="C4247" s="60" t="n"/>
      <c r="D4247" s="60" t="n"/>
    </row>
    <row r="4248">
      <c r="C4248" s="60" t="n"/>
      <c r="D4248" s="60" t="n"/>
    </row>
    <row r="4249">
      <c r="C4249" s="60" t="n"/>
      <c r="D4249" s="60" t="n"/>
    </row>
    <row r="4250">
      <c r="C4250" s="60" t="n"/>
      <c r="D4250" s="60" t="n"/>
    </row>
    <row r="4251">
      <c r="C4251" s="60" t="n"/>
      <c r="D4251" s="60" t="n"/>
    </row>
    <row r="4252">
      <c r="C4252" s="60" t="n"/>
      <c r="D4252" s="60" t="n"/>
    </row>
    <row r="4253">
      <c r="C4253" s="60" t="n"/>
      <c r="D4253" s="60" t="n"/>
    </row>
    <row r="4254">
      <c r="C4254" s="60" t="n"/>
      <c r="D4254" s="60" t="n"/>
    </row>
    <row r="4255">
      <c r="C4255" s="60" t="n"/>
      <c r="D4255" s="60" t="n"/>
    </row>
    <row r="4256">
      <c r="C4256" s="60" t="n"/>
      <c r="D4256" s="60" t="n"/>
    </row>
    <row r="4257">
      <c r="C4257" s="60" t="n"/>
      <c r="D4257" s="60" t="n"/>
    </row>
    <row r="4258">
      <c r="C4258" s="60" t="n"/>
      <c r="D4258" s="60" t="n"/>
    </row>
    <row r="4259">
      <c r="C4259" s="60" t="n"/>
      <c r="D4259" s="60" t="n"/>
    </row>
    <row r="4260">
      <c r="C4260" s="60" t="n"/>
      <c r="D4260" s="60" t="n"/>
    </row>
    <row r="4261">
      <c r="C4261" s="60" t="n"/>
      <c r="D4261" s="60" t="n"/>
    </row>
    <row r="4262">
      <c r="C4262" s="60" t="n"/>
      <c r="D4262" s="60" t="n"/>
    </row>
    <row r="4263">
      <c r="C4263" s="60" t="n"/>
      <c r="D4263" s="60" t="n"/>
    </row>
    <row r="4264">
      <c r="C4264" s="60" t="n"/>
      <c r="D4264" s="60" t="n"/>
    </row>
    <row r="4265">
      <c r="C4265" s="60" t="n"/>
      <c r="D4265" s="60" t="n"/>
    </row>
    <row r="4266">
      <c r="C4266" s="60" t="n"/>
      <c r="D4266" s="60" t="n"/>
    </row>
    <row r="4267">
      <c r="C4267" s="60" t="n"/>
      <c r="D4267" s="60" t="n"/>
    </row>
    <row r="4268">
      <c r="C4268" s="60" t="n"/>
      <c r="D4268" s="60" t="n"/>
    </row>
    <row r="4269">
      <c r="C4269" s="60" t="n"/>
      <c r="D4269" s="60" t="n"/>
    </row>
    <row r="4270">
      <c r="C4270" s="60" t="n"/>
      <c r="D4270" s="60" t="n"/>
    </row>
    <row r="4271">
      <c r="C4271" s="60" t="n"/>
      <c r="D4271" s="60" t="n"/>
    </row>
    <row r="4272">
      <c r="C4272" s="60" t="n"/>
      <c r="D4272" s="60" t="n"/>
    </row>
    <row r="4273">
      <c r="C4273" s="60" t="n"/>
      <c r="D4273" s="60" t="n"/>
    </row>
    <row r="4274">
      <c r="C4274" s="60" t="n"/>
      <c r="D4274" s="60" t="n"/>
    </row>
    <row r="4275">
      <c r="C4275" s="60" t="n"/>
      <c r="D4275" s="60" t="n"/>
    </row>
    <row r="4276">
      <c r="C4276" s="60" t="n"/>
      <c r="D4276" s="60" t="n"/>
    </row>
    <row r="4277">
      <c r="C4277" s="60" t="n"/>
      <c r="D4277" s="60" t="n"/>
    </row>
    <row r="4278">
      <c r="C4278" s="60" t="n"/>
      <c r="D4278" s="60" t="n"/>
    </row>
    <row r="4279">
      <c r="C4279" s="60" t="n"/>
      <c r="D4279" s="60" t="n"/>
    </row>
    <row r="4280">
      <c r="C4280" s="60" t="n"/>
      <c r="D4280" s="60" t="n"/>
    </row>
    <row r="4281">
      <c r="C4281" s="60" t="n"/>
      <c r="D4281" s="60" t="n"/>
    </row>
    <row r="4282">
      <c r="C4282" s="60" t="n"/>
      <c r="D4282" s="60" t="n"/>
    </row>
    <row r="4283">
      <c r="C4283" s="60" t="n"/>
      <c r="D4283" s="60" t="n"/>
    </row>
    <row r="4284">
      <c r="C4284" s="60" t="n"/>
      <c r="D4284" s="60" t="n"/>
    </row>
    <row r="4285">
      <c r="C4285" s="60" t="n"/>
      <c r="D4285" s="60" t="n"/>
    </row>
    <row r="4286">
      <c r="C4286" s="60" t="n"/>
      <c r="D4286" s="60" t="n"/>
    </row>
    <row r="4287">
      <c r="C4287" s="60" t="n"/>
      <c r="D4287" s="60" t="n"/>
    </row>
    <row r="4288">
      <c r="C4288" s="60" t="n"/>
      <c r="D4288" s="60" t="n"/>
    </row>
    <row r="4289">
      <c r="C4289" s="60" t="n"/>
      <c r="D4289" s="60" t="n"/>
    </row>
    <row r="4290">
      <c r="C4290" s="60" t="n"/>
      <c r="D4290" s="60" t="n"/>
    </row>
    <row r="4291">
      <c r="C4291" s="60" t="n"/>
      <c r="D4291" s="60" t="n"/>
    </row>
    <row r="4292">
      <c r="C4292" s="60" t="n"/>
      <c r="D4292" s="60" t="n"/>
    </row>
    <row r="4293">
      <c r="C4293" s="60" t="n"/>
      <c r="D4293" s="60" t="n"/>
    </row>
    <row r="4294">
      <c r="C4294" s="60" t="n"/>
      <c r="D4294" s="60" t="n"/>
    </row>
    <row r="4295">
      <c r="C4295" s="60" t="n"/>
      <c r="D4295" s="60" t="n"/>
    </row>
    <row r="4296">
      <c r="C4296" s="60" t="n"/>
      <c r="D4296" s="60" t="n"/>
    </row>
    <row r="4297">
      <c r="C4297" s="60" t="n"/>
      <c r="D4297" s="60" t="n"/>
    </row>
    <row r="4298">
      <c r="C4298" s="60" t="n"/>
      <c r="D4298" s="60" t="n"/>
    </row>
    <row r="4299">
      <c r="C4299" s="60" t="n"/>
      <c r="D4299" s="60" t="n"/>
    </row>
    <row r="4300">
      <c r="C4300" s="60" t="n"/>
      <c r="D4300" s="60" t="n"/>
    </row>
    <row r="4301">
      <c r="C4301" s="60" t="n"/>
      <c r="D4301" s="60" t="n"/>
    </row>
    <row r="4302">
      <c r="C4302" s="60" t="n"/>
      <c r="D4302" s="60" t="n"/>
    </row>
    <row r="4303">
      <c r="C4303" s="60" t="n"/>
      <c r="D4303" s="60" t="n"/>
    </row>
    <row r="4304">
      <c r="C4304" s="60" t="n"/>
      <c r="D4304" s="60" t="n"/>
    </row>
    <row r="4305">
      <c r="C4305" s="60" t="n"/>
      <c r="D4305" s="60" t="n"/>
    </row>
    <row r="4306">
      <c r="C4306" s="60" t="n"/>
      <c r="D4306" s="60" t="n"/>
    </row>
    <row r="4307">
      <c r="C4307" s="60" t="n"/>
      <c r="D4307" s="60" t="n"/>
    </row>
    <row r="4308">
      <c r="C4308" s="60" t="n"/>
      <c r="D4308" s="60" t="n"/>
    </row>
    <row r="4309">
      <c r="C4309" s="60" t="n"/>
      <c r="D4309" s="60" t="n"/>
    </row>
    <row r="4310">
      <c r="C4310" s="60" t="n"/>
      <c r="D4310" s="60" t="n"/>
    </row>
    <row r="4311">
      <c r="C4311" s="60" t="n"/>
      <c r="D4311" s="60" t="n"/>
    </row>
    <row r="4312">
      <c r="C4312" s="60" t="n"/>
      <c r="D4312" s="60" t="n"/>
    </row>
    <row r="4313">
      <c r="C4313" s="60" t="n"/>
      <c r="D4313" s="60" t="n"/>
    </row>
    <row r="4314">
      <c r="C4314" s="60" t="n"/>
      <c r="D4314" s="60" t="n"/>
    </row>
    <row r="4315">
      <c r="C4315" s="60" t="n"/>
      <c r="D4315" s="60" t="n"/>
    </row>
    <row r="4316">
      <c r="C4316" s="60" t="n"/>
      <c r="D4316" s="60" t="n"/>
    </row>
    <row r="4317">
      <c r="C4317" s="60" t="n"/>
      <c r="D4317" s="60" t="n"/>
    </row>
    <row r="4318">
      <c r="C4318" s="60" t="n"/>
      <c r="D4318" s="60" t="n"/>
    </row>
    <row r="4319">
      <c r="C4319" s="60" t="n"/>
      <c r="D4319" s="60" t="n"/>
    </row>
    <row r="4320">
      <c r="C4320" s="60" t="n"/>
      <c r="D4320" s="60" t="n"/>
    </row>
    <row r="4321">
      <c r="C4321" s="60" t="n"/>
      <c r="D4321" s="60" t="n"/>
    </row>
    <row r="4322">
      <c r="C4322" s="60" t="n"/>
      <c r="D4322" s="60" t="n"/>
    </row>
    <row r="4323">
      <c r="C4323" s="60" t="n"/>
      <c r="D4323" s="60" t="n"/>
    </row>
    <row r="4324">
      <c r="C4324" s="60" t="n"/>
      <c r="D4324" s="60" t="n"/>
    </row>
    <row r="4325">
      <c r="C4325" s="60" t="n"/>
      <c r="D4325" s="60" t="n"/>
    </row>
    <row r="4326">
      <c r="C4326" s="60" t="n"/>
      <c r="D4326" s="60" t="n"/>
    </row>
    <row r="4327">
      <c r="C4327" s="60" t="n"/>
      <c r="D4327" s="60" t="n"/>
    </row>
    <row r="4328">
      <c r="C4328" s="60" t="n"/>
      <c r="D4328" s="60" t="n"/>
    </row>
    <row r="4329">
      <c r="C4329" s="60" t="n"/>
      <c r="D4329" s="60" t="n"/>
    </row>
    <row r="4330">
      <c r="C4330" s="60" t="n"/>
      <c r="D4330" s="60" t="n"/>
    </row>
    <row r="4331">
      <c r="C4331" s="60" t="n"/>
      <c r="D4331" s="60" t="n"/>
    </row>
    <row r="4332">
      <c r="C4332" s="60" t="n"/>
      <c r="D4332" s="60" t="n"/>
    </row>
    <row r="4333">
      <c r="C4333" s="60" t="n"/>
      <c r="D4333" s="60" t="n"/>
    </row>
    <row r="4334">
      <c r="C4334" s="60" t="n"/>
      <c r="D4334" s="60" t="n"/>
    </row>
    <row r="4335">
      <c r="C4335" s="60" t="n"/>
      <c r="D4335" s="60" t="n"/>
    </row>
    <row r="4336">
      <c r="C4336" s="60" t="n"/>
      <c r="D4336" s="60" t="n"/>
    </row>
    <row r="4337">
      <c r="C4337" s="60" t="n"/>
      <c r="D4337" s="60" t="n"/>
    </row>
    <row r="4338">
      <c r="C4338" s="60" t="n"/>
      <c r="D4338" s="60" t="n"/>
    </row>
    <row r="4339">
      <c r="C4339" s="60" t="n"/>
      <c r="D4339" s="60" t="n"/>
    </row>
    <row r="4340">
      <c r="C4340" s="60" t="n"/>
      <c r="D4340" s="60" t="n"/>
    </row>
    <row r="4341">
      <c r="C4341" s="60" t="n"/>
      <c r="D4341" s="60" t="n"/>
    </row>
    <row r="4342">
      <c r="C4342" s="60" t="n"/>
      <c r="D4342" s="60" t="n"/>
    </row>
    <row r="4343">
      <c r="C4343" s="60" t="n"/>
      <c r="D4343" s="60" t="n"/>
    </row>
    <row r="4344">
      <c r="C4344" s="60" t="n"/>
      <c r="D4344" s="60" t="n"/>
    </row>
    <row r="4345">
      <c r="C4345" s="60" t="n"/>
      <c r="D4345" s="60" t="n"/>
    </row>
    <row r="4346">
      <c r="C4346" s="60" t="n"/>
      <c r="D4346" s="60" t="n"/>
    </row>
    <row r="4347">
      <c r="C4347" s="60" t="n"/>
      <c r="D4347" s="60" t="n"/>
    </row>
    <row r="4348">
      <c r="C4348" s="60" t="n"/>
      <c r="D4348" s="60" t="n"/>
    </row>
    <row r="4349">
      <c r="C4349" s="60" t="n"/>
      <c r="D4349" s="60" t="n"/>
    </row>
    <row r="4350">
      <c r="C4350" s="60" t="n"/>
      <c r="D4350" s="60" t="n"/>
    </row>
    <row r="4351">
      <c r="C4351" s="60" t="n"/>
      <c r="D4351" s="60" t="n"/>
    </row>
    <row r="4352">
      <c r="C4352" s="60" t="n"/>
      <c r="D4352" s="60" t="n"/>
    </row>
    <row r="4353">
      <c r="C4353" s="60" t="n"/>
      <c r="D4353" s="60" t="n"/>
    </row>
    <row r="4354">
      <c r="C4354" s="60" t="n"/>
      <c r="D4354" s="60" t="n"/>
    </row>
    <row r="4355">
      <c r="C4355" s="60" t="n"/>
      <c r="D4355" s="60" t="n"/>
    </row>
    <row r="4356">
      <c r="C4356" s="60" t="n"/>
      <c r="D4356" s="60" t="n"/>
    </row>
    <row r="4357">
      <c r="C4357" s="60" t="n"/>
      <c r="D4357" s="60" t="n"/>
    </row>
    <row r="4358">
      <c r="C4358" s="60" t="n"/>
      <c r="D4358" s="60" t="n"/>
    </row>
    <row r="4359">
      <c r="C4359" s="60" t="n"/>
      <c r="D4359" s="60" t="n"/>
    </row>
    <row r="4360">
      <c r="C4360" s="60" t="n"/>
      <c r="D4360" s="60" t="n"/>
    </row>
    <row r="4361">
      <c r="C4361" s="60" t="n"/>
      <c r="D4361" s="60" t="n"/>
    </row>
    <row r="4362">
      <c r="C4362" s="60" t="n"/>
      <c r="D4362" s="60" t="n"/>
    </row>
    <row r="4363">
      <c r="C4363" s="60" t="n"/>
      <c r="D4363" s="60" t="n"/>
    </row>
    <row r="4364">
      <c r="C4364" s="60" t="n"/>
      <c r="D4364" s="60" t="n"/>
    </row>
    <row r="4365">
      <c r="C4365" s="60" t="n"/>
      <c r="D4365" s="60" t="n"/>
    </row>
    <row r="4366">
      <c r="C4366" s="60" t="n"/>
      <c r="D4366" s="60" t="n"/>
    </row>
    <row r="4367">
      <c r="C4367" s="60" t="n"/>
      <c r="D4367" s="60" t="n"/>
    </row>
    <row r="4368">
      <c r="C4368" s="60" t="n"/>
      <c r="D4368" s="60" t="n"/>
    </row>
    <row r="4369">
      <c r="C4369" s="60" t="n"/>
      <c r="D4369" s="60" t="n"/>
    </row>
    <row r="4370">
      <c r="C4370" s="60" t="n"/>
      <c r="D4370" s="60" t="n"/>
    </row>
    <row r="4371">
      <c r="C4371" s="60" t="n"/>
      <c r="D4371" s="60" t="n"/>
    </row>
    <row r="4372">
      <c r="C4372" s="60" t="n"/>
      <c r="D4372" s="60" t="n"/>
    </row>
    <row r="4373">
      <c r="C4373" s="60" t="n"/>
      <c r="D4373" s="60" t="n"/>
    </row>
    <row r="4374">
      <c r="C4374" s="60" t="n"/>
      <c r="D4374" s="60" t="n"/>
    </row>
    <row r="4375">
      <c r="C4375" s="60" t="n"/>
      <c r="D4375" s="60" t="n"/>
    </row>
    <row r="4376">
      <c r="C4376" s="60" t="n"/>
      <c r="D4376" s="60" t="n"/>
    </row>
    <row r="4377">
      <c r="C4377" s="60" t="n"/>
      <c r="D4377" s="60" t="n"/>
    </row>
    <row r="4378">
      <c r="C4378" s="60" t="n"/>
      <c r="D4378" s="60" t="n"/>
    </row>
    <row r="4379">
      <c r="C4379" s="60" t="n"/>
      <c r="D4379" s="60" t="n"/>
    </row>
    <row r="4380">
      <c r="C4380" s="60" t="n"/>
      <c r="D4380" s="60" t="n"/>
    </row>
    <row r="4381">
      <c r="C4381" s="60" t="n"/>
      <c r="D4381" s="60" t="n"/>
    </row>
    <row r="4382">
      <c r="C4382" s="60" t="n"/>
      <c r="D4382" s="60" t="n"/>
    </row>
    <row r="4383">
      <c r="C4383" s="60" t="n"/>
      <c r="D4383" s="60" t="n"/>
    </row>
    <row r="4384">
      <c r="C4384" s="60" t="n"/>
      <c r="D4384" s="60" t="n"/>
    </row>
    <row r="4385">
      <c r="C4385" s="60" t="n"/>
      <c r="D4385" s="60" t="n"/>
    </row>
    <row r="4386">
      <c r="C4386" s="60" t="n"/>
      <c r="D4386" s="60" t="n"/>
    </row>
    <row r="4387">
      <c r="C4387" s="60" t="n"/>
      <c r="D4387" s="60" t="n"/>
    </row>
    <row r="4388">
      <c r="C4388" s="60" t="n"/>
      <c r="D4388" s="60" t="n"/>
    </row>
    <row r="4389">
      <c r="C4389" s="60" t="n"/>
      <c r="D4389" s="60" t="n"/>
    </row>
    <row r="4390">
      <c r="C4390" s="60" t="n"/>
      <c r="D4390" s="60" t="n"/>
    </row>
    <row r="4391">
      <c r="C4391" s="60" t="n"/>
      <c r="D4391" s="60" t="n"/>
    </row>
    <row r="4392">
      <c r="C4392" s="60" t="n"/>
      <c r="D4392" s="60" t="n"/>
    </row>
    <row r="4393">
      <c r="C4393" s="60" t="n"/>
      <c r="D4393" s="60" t="n"/>
    </row>
    <row r="4394">
      <c r="C4394" s="60" t="n"/>
      <c r="D4394" s="60" t="n"/>
    </row>
    <row r="4395">
      <c r="C4395" s="60" t="n"/>
      <c r="D4395" s="60" t="n"/>
    </row>
    <row r="4396">
      <c r="C4396" s="60" t="n"/>
      <c r="D4396" s="60" t="n"/>
    </row>
    <row r="4397">
      <c r="C4397" s="60" t="n"/>
      <c r="D4397" s="60" t="n"/>
    </row>
    <row r="4398">
      <c r="C4398" s="60" t="n"/>
      <c r="D4398" s="60" t="n"/>
    </row>
    <row r="4399">
      <c r="C4399" s="60" t="n"/>
      <c r="D4399" s="60" t="n"/>
    </row>
    <row r="4400">
      <c r="C4400" s="60" t="n"/>
      <c r="D4400" s="60" t="n"/>
    </row>
    <row r="4401">
      <c r="C4401" s="60" t="n"/>
      <c r="D4401" s="60" t="n"/>
    </row>
    <row r="4402">
      <c r="C4402" s="60" t="n"/>
      <c r="D4402" s="60" t="n"/>
    </row>
    <row r="4403">
      <c r="C4403" s="60" t="n"/>
      <c r="D4403" s="60" t="n"/>
    </row>
    <row r="4404">
      <c r="C4404" s="60" t="n"/>
      <c r="D4404" s="60" t="n"/>
    </row>
    <row r="4405">
      <c r="C4405" s="60" t="n"/>
      <c r="D4405" s="60" t="n"/>
    </row>
    <row r="4406">
      <c r="C4406" s="60" t="n"/>
      <c r="D4406" s="60" t="n"/>
    </row>
    <row r="4407">
      <c r="C4407" s="60" t="n"/>
      <c r="D4407" s="60" t="n"/>
    </row>
    <row r="4408">
      <c r="C4408" s="60" t="n"/>
      <c r="D4408" s="60" t="n"/>
    </row>
    <row r="4409">
      <c r="C4409" s="60" t="n"/>
      <c r="D4409" s="60" t="n"/>
    </row>
    <row r="4410">
      <c r="C4410" s="60" t="n"/>
      <c r="D4410" s="60" t="n"/>
    </row>
    <row r="4411">
      <c r="C4411" s="60" t="n"/>
      <c r="D4411" s="60" t="n"/>
    </row>
    <row r="4412">
      <c r="C4412" s="60" t="n"/>
      <c r="D4412" s="60" t="n"/>
    </row>
    <row r="4413">
      <c r="C4413" s="60" t="n"/>
      <c r="D4413" s="60" t="n"/>
    </row>
    <row r="4414">
      <c r="C4414" s="60" t="n"/>
      <c r="D4414" s="60" t="n"/>
    </row>
    <row r="4415">
      <c r="C4415" s="60" t="n"/>
      <c r="D4415" s="60" t="n"/>
    </row>
    <row r="4416">
      <c r="C4416" s="60" t="n"/>
      <c r="D4416" s="60" t="n"/>
    </row>
    <row r="4417">
      <c r="C4417" s="60" t="n"/>
      <c r="D4417" s="60" t="n"/>
    </row>
    <row r="4418">
      <c r="C4418" s="60" t="n"/>
      <c r="D4418" s="60" t="n"/>
    </row>
    <row r="4419">
      <c r="C4419" s="60" t="n"/>
      <c r="D4419" s="60" t="n"/>
    </row>
    <row r="4420">
      <c r="C4420" s="60" t="n"/>
      <c r="D4420" s="60" t="n"/>
    </row>
    <row r="4421">
      <c r="C4421" s="60" t="n"/>
      <c r="D4421" s="60" t="n"/>
    </row>
    <row r="4422">
      <c r="C4422" s="60" t="n"/>
      <c r="D4422" s="60" t="n"/>
    </row>
    <row r="4423">
      <c r="C4423" s="60" t="n"/>
      <c r="D4423" s="60" t="n"/>
    </row>
    <row r="4424">
      <c r="C4424" s="60" t="n"/>
      <c r="D4424" s="60" t="n"/>
    </row>
    <row r="4425">
      <c r="C4425" s="60" t="n"/>
      <c r="D4425" s="60" t="n"/>
    </row>
    <row r="4426">
      <c r="C4426" s="60" t="n"/>
      <c r="D4426" s="60" t="n"/>
    </row>
    <row r="4427">
      <c r="C4427" s="60" t="n"/>
      <c r="D4427" s="60" t="n"/>
    </row>
    <row r="4428">
      <c r="C4428" s="60" t="n"/>
      <c r="D4428" s="60" t="n"/>
    </row>
    <row r="4429">
      <c r="C4429" s="60" t="n"/>
      <c r="D4429" s="60" t="n"/>
    </row>
    <row r="4430">
      <c r="C4430" s="60" t="n"/>
      <c r="D4430" s="60" t="n"/>
    </row>
    <row r="4431">
      <c r="C4431" s="60" t="n"/>
      <c r="D4431" s="60" t="n"/>
    </row>
    <row r="4432">
      <c r="C4432" s="60" t="n"/>
      <c r="D4432" s="60" t="n"/>
    </row>
    <row r="4433">
      <c r="C4433" s="60" t="n"/>
      <c r="D4433" s="60" t="n"/>
    </row>
    <row r="4434">
      <c r="C4434" s="60" t="n"/>
      <c r="D4434" s="60" t="n"/>
    </row>
    <row r="4435">
      <c r="C4435" s="60" t="n"/>
      <c r="D4435" s="60" t="n"/>
    </row>
    <row r="4436">
      <c r="C4436" s="60" t="n"/>
      <c r="D4436" s="60" t="n"/>
    </row>
    <row r="4437">
      <c r="C4437" s="60" t="n"/>
      <c r="D4437" s="60" t="n"/>
    </row>
    <row r="4438">
      <c r="C4438" s="60" t="n"/>
      <c r="D4438" s="60" t="n"/>
    </row>
    <row r="4439">
      <c r="C4439" s="60" t="n"/>
      <c r="D4439" s="60" t="n"/>
    </row>
    <row r="4440">
      <c r="C4440" s="60" t="n"/>
      <c r="D4440" s="60" t="n"/>
    </row>
    <row r="4441">
      <c r="C4441" s="60" t="n"/>
      <c r="D4441" s="60" t="n"/>
    </row>
    <row r="4442">
      <c r="C4442" s="60" t="n"/>
      <c r="D4442" s="60" t="n"/>
    </row>
    <row r="4443">
      <c r="C4443" s="60" t="n"/>
      <c r="D4443" s="60" t="n"/>
    </row>
    <row r="4444">
      <c r="C4444" s="60" t="n"/>
      <c r="D4444" s="60" t="n"/>
    </row>
    <row r="4445">
      <c r="C4445" s="60" t="n"/>
      <c r="D4445" s="60" t="n"/>
    </row>
    <row r="4446">
      <c r="C4446" s="60" t="n"/>
      <c r="D4446" s="60" t="n"/>
    </row>
    <row r="4447">
      <c r="C4447" s="60" t="n"/>
      <c r="D4447" s="60" t="n"/>
    </row>
    <row r="4448">
      <c r="C4448" s="60" t="n"/>
      <c r="D4448" s="60" t="n"/>
    </row>
    <row r="4449">
      <c r="C4449" s="60" t="n"/>
      <c r="D4449" s="60" t="n"/>
    </row>
    <row r="4450">
      <c r="C4450" s="60" t="n"/>
      <c r="D4450" s="60" t="n"/>
    </row>
    <row r="4451">
      <c r="C4451" s="60" t="n"/>
      <c r="D4451" s="60" t="n"/>
    </row>
    <row r="4452">
      <c r="C4452" s="60" t="n"/>
      <c r="D4452" s="60" t="n"/>
    </row>
    <row r="4453">
      <c r="C4453" s="60" t="n"/>
      <c r="D4453" s="60" t="n"/>
    </row>
    <row r="4454">
      <c r="C4454" s="60" t="n"/>
      <c r="D4454" s="60" t="n"/>
    </row>
    <row r="4455">
      <c r="C4455" s="60" t="n"/>
      <c r="D4455" s="60" t="n"/>
    </row>
    <row r="4456">
      <c r="C4456" s="60" t="n"/>
      <c r="D4456" s="60" t="n"/>
    </row>
    <row r="4457">
      <c r="C4457" s="60" t="n"/>
      <c r="D4457" s="60" t="n"/>
    </row>
    <row r="4458">
      <c r="C4458" s="60" t="n"/>
      <c r="D4458" s="60" t="n"/>
    </row>
    <row r="4459">
      <c r="C4459" s="60" t="n"/>
      <c r="D4459" s="60" t="n"/>
    </row>
    <row r="4460">
      <c r="C4460" s="60" t="n"/>
      <c r="D4460" s="60" t="n"/>
    </row>
    <row r="4461">
      <c r="C4461" s="60" t="n"/>
      <c r="D4461" s="60" t="n"/>
    </row>
    <row r="4462">
      <c r="C4462" s="60" t="n"/>
      <c r="D4462" s="60" t="n"/>
    </row>
    <row r="4463">
      <c r="C4463" s="60" t="n"/>
      <c r="D4463" s="60" t="n"/>
    </row>
    <row r="4464">
      <c r="C4464" s="60" t="n"/>
      <c r="D4464" s="60" t="n"/>
    </row>
    <row r="4465">
      <c r="C4465" s="60" t="n"/>
      <c r="D4465" s="60" t="n"/>
    </row>
    <row r="4466">
      <c r="C4466" s="60" t="n"/>
      <c r="D4466" s="60" t="n"/>
    </row>
    <row r="4467">
      <c r="C4467" s="60" t="n"/>
      <c r="D4467" s="60" t="n"/>
    </row>
    <row r="4468">
      <c r="C4468" s="60" t="n"/>
      <c r="D4468" s="60" t="n"/>
    </row>
    <row r="4469">
      <c r="C4469" s="60" t="n"/>
      <c r="D4469" s="60" t="n"/>
    </row>
    <row r="4470">
      <c r="C4470" s="60" t="n"/>
      <c r="D4470" s="60" t="n"/>
    </row>
    <row r="4471">
      <c r="C4471" s="60" t="n"/>
      <c r="D4471" s="60" t="n"/>
    </row>
    <row r="4472">
      <c r="C4472" s="60" t="n"/>
      <c r="D4472" s="60" t="n"/>
    </row>
    <row r="4473">
      <c r="C4473" s="60" t="n"/>
      <c r="D4473" s="60" t="n"/>
    </row>
    <row r="4474">
      <c r="C4474" s="60" t="n"/>
      <c r="D4474" s="60" t="n"/>
    </row>
    <row r="4475">
      <c r="C4475" s="60" t="n"/>
      <c r="D4475" s="60" t="n"/>
    </row>
    <row r="4476">
      <c r="C4476" s="60" t="n"/>
      <c r="D4476" s="60" t="n"/>
    </row>
    <row r="4477">
      <c r="C4477" s="60" t="n"/>
      <c r="D4477" s="60" t="n"/>
    </row>
    <row r="4478">
      <c r="C4478" s="60" t="n"/>
      <c r="D4478" s="60" t="n"/>
    </row>
    <row r="4479">
      <c r="C4479" s="60" t="n"/>
      <c r="D4479" s="60" t="n"/>
    </row>
    <row r="4480">
      <c r="C4480" s="60" t="n"/>
      <c r="D4480" s="60" t="n"/>
    </row>
    <row r="4481">
      <c r="C4481" s="60" t="n"/>
      <c r="D4481" s="60" t="n"/>
    </row>
    <row r="4482">
      <c r="C4482" s="60" t="n"/>
      <c r="D4482" s="60" t="n"/>
    </row>
    <row r="4483">
      <c r="C4483" s="60" t="n"/>
      <c r="D4483" s="60" t="n"/>
    </row>
    <row r="4484">
      <c r="C4484" s="60" t="n"/>
      <c r="D4484" s="60" t="n"/>
    </row>
    <row r="4485">
      <c r="C4485" s="60" t="n"/>
      <c r="D4485" s="60" t="n"/>
    </row>
    <row r="4486">
      <c r="C4486" s="60" t="n"/>
      <c r="D4486" s="60" t="n"/>
    </row>
    <row r="4487">
      <c r="C4487" s="60" t="n"/>
      <c r="D4487" s="60" t="n"/>
    </row>
    <row r="4488">
      <c r="C4488" s="60" t="n"/>
      <c r="D4488" s="60" t="n"/>
    </row>
    <row r="4489">
      <c r="C4489" s="60" t="n"/>
      <c r="D4489" s="60" t="n"/>
    </row>
    <row r="4490">
      <c r="C4490" s="60" t="n"/>
      <c r="D4490" s="60" t="n"/>
    </row>
    <row r="4491">
      <c r="C4491" s="60" t="n"/>
      <c r="D4491" s="60" t="n"/>
    </row>
    <row r="4492">
      <c r="C4492" s="60" t="n"/>
      <c r="D4492" s="60" t="n"/>
    </row>
    <row r="4493">
      <c r="C4493" s="60" t="n"/>
      <c r="D4493" s="60" t="n"/>
    </row>
    <row r="4494">
      <c r="C4494" s="60" t="n"/>
      <c r="D4494" s="60" t="n"/>
    </row>
    <row r="4495">
      <c r="C4495" s="60" t="n"/>
      <c r="D4495" s="60" t="n"/>
    </row>
    <row r="4496">
      <c r="C4496" s="60" t="n"/>
      <c r="D4496" s="60" t="n"/>
    </row>
    <row r="4497">
      <c r="C4497" s="60" t="n"/>
      <c r="D4497" s="60" t="n"/>
    </row>
    <row r="4498">
      <c r="C4498" s="60" t="n"/>
      <c r="D4498" s="60" t="n"/>
    </row>
    <row r="4499">
      <c r="C4499" s="60" t="n"/>
      <c r="D4499" s="60" t="n"/>
    </row>
    <row r="4500">
      <c r="C4500" s="60" t="n"/>
      <c r="D4500" s="60" t="n"/>
    </row>
    <row r="4501">
      <c r="C4501" s="60" t="n"/>
      <c r="D4501" s="60" t="n"/>
    </row>
    <row r="4502">
      <c r="C4502" s="60" t="n"/>
      <c r="D4502" s="60" t="n"/>
    </row>
    <row r="4503">
      <c r="C4503" s="60" t="n"/>
      <c r="D4503" s="60" t="n"/>
    </row>
    <row r="4504">
      <c r="C4504" s="60" t="n"/>
      <c r="D4504" s="60" t="n"/>
    </row>
    <row r="4505">
      <c r="C4505" s="60" t="n"/>
      <c r="D4505" s="60" t="n"/>
    </row>
    <row r="4506">
      <c r="C4506" s="60" t="n"/>
      <c r="D4506" s="60" t="n"/>
    </row>
    <row r="4507">
      <c r="C4507" s="60" t="n"/>
      <c r="D4507" s="60" t="n"/>
    </row>
    <row r="4508">
      <c r="C4508" s="60" t="n"/>
      <c r="D4508" s="60" t="n"/>
    </row>
    <row r="4509">
      <c r="C4509" s="60" t="n"/>
      <c r="D4509" s="60" t="n"/>
    </row>
    <row r="4510">
      <c r="C4510" s="60" t="n"/>
      <c r="D4510" s="60" t="n"/>
    </row>
    <row r="4511">
      <c r="C4511" s="60" t="n"/>
      <c r="D4511" s="60" t="n"/>
    </row>
    <row r="4512">
      <c r="C4512" s="60" t="n"/>
      <c r="D4512" s="60" t="n"/>
    </row>
    <row r="4513">
      <c r="C4513" s="60" t="n"/>
      <c r="D4513" s="60" t="n"/>
    </row>
    <row r="4514">
      <c r="C4514" s="60" t="n"/>
      <c r="D4514" s="60" t="n"/>
    </row>
    <row r="4515">
      <c r="C4515" s="60" t="n"/>
      <c r="D4515" s="60" t="n"/>
    </row>
    <row r="4516">
      <c r="C4516" s="60" t="n"/>
      <c r="D4516" s="60" t="n"/>
    </row>
    <row r="4517">
      <c r="C4517" s="60" t="n"/>
      <c r="D4517" s="60" t="n"/>
    </row>
    <row r="4518">
      <c r="C4518" s="60" t="n"/>
      <c r="D4518" s="60" t="n"/>
    </row>
    <row r="4519">
      <c r="C4519" s="60" t="n"/>
      <c r="D4519" s="60" t="n"/>
    </row>
    <row r="4520">
      <c r="C4520" s="60" t="n"/>
      <c r="D4520" s="60" t="n"/>
    </row>
    <row r="4521">
      <c r="C4521" s="60" t="n"/>
      <c r="D4521" s="60" t="n"/>
    </row>
    <row r="4522">
      <c r="C4522" s="60" t="n"/>
      <c r="D4522" s="60" t="n"/>
    </row>
    <row r="4523">
      <c r="C4523" s="60" t="n"/>
      <c r="D4523" s="60" t="n"/>
    </row>
    <row r="4524">
      <c r="C4524" s="60" t="n"/>
      <c r="D4524" s="60" t="n"/>
    </row>
    <row r="4525">
      <c r="C4525" s="60" t="n"/>
      <c r="D4525" s="60" t="n"/>
    </row>
    <row r="4526">
      <c r="C4526" s="60" t="n"/>
      <c r="D4526" s="60" t="n"/>
    </row>
    <row r="4527">
      <c r="C4527" s="60" t="n"/>
      <c r="D4527" s="60" t="n"/>
    </row>
    <row r="4528">
      <c r="C4528" s="60" t="n"/>
      <c r="D4528" s="60" t="n"/>
    </row>
    <row r="4529">
      <c r="C4529" s="60" t="n"/>
      <c r="D4529" s="60" t="n"/>
    </row>
    <row r="4530">
      <c r="C4530" s="60" t="n"/>
      <c r="D4530" s="60" t="n"/>
    </row>
    <row r="4531">
      <c r="C4531" s="60" t="n"/>
      <c r="D4531" s="60" t="n"/>
    </row>
    <row r="4532">
      <c r="C4532" s="60" t="n"/>
      <c r="D4532" s="60" t="n"/>
    </row>
    <row r="4533">
      <c r="C4533" s="60" t="n"/>
      <c r="D4533" s="60" t="n"/>
    </row>
    <row r="4534">
      <c r="C4534" s="60" t="n"/>
      <c r="D4534" s="60" t="n"/>
    </row>
    <row r="4535">
      <c r="C4535" s="60" t="n"/>
      <c r="D4535" s="60" t="n"/>
    </row>
    <row r="4536">
      <c r="C4536" s="60" t="n"/>
      <c r="D4536" s="60" t="n"/>
    </row>
    <row r="4537">
      <c r="C4537" s="60" t="n"/>
      <c r="D4537" s="60" t="n"/>
    </row>
    <row r="4538">
      <c r="C4538" s="60" t="n"/>
      <c r="D4538" s="60" t="n"/>
    </row>
    <row r="4539">
      <c r="C4539" s="60" t="n"/>
      <c r="D4539" s="60" t="n"/>
    </row>
    <row r="4540">
      <c r="C4540" s="60" t="n"/>
      <c r="D4540" s="60" t="n"/>
    </row>
    <row r="4541">
      <c r="C4541" s="60" t="n"/>
      <c r="D4541" s="60" t="n"/>
    </row>
    <row r="4542">
      <c r="C4542" s="60" t="n"/>
      <c r="D4542" s="60" t="n"/>
    </row>
    <row r="4543">
      <c r="C4543" s="60" t="n"/>
      <c r="D4543" s="60" t="n"/>
    </row>
    <row r="4544">
      <c r="C4544" s="60" t="n"/>
      <c r="D4544" s="60" t="n"/>
    </row>
    <row r="4545">
      <c r="C4545" s="60" t="n"/>
      <c r="D4545" s="60" t="n"/>
    </row>
    <row r="4546">
      <c r="C4546" s="60" t="n"/>
      <c r="D4546" s="60" t="n"/>
    </row>
    <row r="4547">
      <c r="C4547" s="60" t="n"/>
      <c r="D4547" s="60" t="n"/>
    </row>
    <row r="4548">
      <c r="C4548" s="60" t="n"/>
      <c r="D4548" s="60" t="n"/>
    </row>
    <row r="4549">
      <c r="C4549" s="60" t="n"/>
      <c r="D4549" s="60" t="n"/>
    </row>
    <row r="4550">
      <c r="C4550" s="60" t="n"/>
      <c r="D4550" s="60" t="n"/>
    </row>
    <row r="4551">
      <c r="C4551" s="60" t="n"/>
      <c r="D4551" s="60" t="n"/>
    </row>
    <row r="4552">
      <c r="C4552" s="60" t="n"/>
      <c r="D4552" s="60" t="n"/>
    </row>
    <row r="4553">
      <c r="C4553" s="60" t="n"/>
      <c r="D4553" s="60" t="n"/>
    </row>
    <row r="4554">
      <c r="C4554" s="60" t="n"/>
      <c r="D4554" s="60" t="n"/>
    </row>
    <row r="4555">
      <c r="C4555" s="60" t="n"/>
      <c r="D4555" s="60" t="n"/>
    </row>
    <row r="4556">
      <c r="C4556" s="60" t="n"/>
      <c r="D4556" s="60" t="n"/>
    </row>
    <row r="4557">
      <c r="C4557" s="60" t="n"/>
      <c r="D4557" s="60" t="n"/>
    </row>
    <row r="4558">
      <c r="C4558" s="60" t="n"/>
      <c r="D4558" s="60" t="n"/>
    </row>
    <row r="4559">
      <c r="C4559" s="60" t="n"/>
      <c r="D4559" s="60" t="n"/>
    </row>
    <row r="4560">
      <c r="C4560" s="60" t="n"/>
      <c r="D4560" s="60" t="n"/>
    </row>
    <row r="4561">
      <c r="C4561" s="60" t="n"/>
      <c r="D4561" s="60" t="n"/>
    </row>
    <row r="4562">
      <c r="C4562" s="60" t="n"/>
      <c r="D4562" s="60" t="n"/>
    </row>
    <row r="4563">
      <c r="C4563" s="60" t="n"/>
      <c r="D4563" s="60" t="n"/>
    </row>
    <row r="4564">
      <c r="C4564" s="60" t="n"/>
      <c r="D4564" s="60" t="n"/>
    </row>
    <row r="4565">
      <c r="C4565" s="60" t="n"/>
      <c r="D4565" s="60" t="n"/>
    </row>
    <row r="4566">
      <c r="C4566" s="60" t="n"/>
      <c r="D4566" s="60" t="n"/>
    </row>
    <row r="4567">
      <c r="C4567" s="60" t="n"/>
      <c r="D4567" s="60" t="n"/>
    </row>
    <row r="4568">
      <c r="C4568" s="60" t="n"/>
      <c r="D4568" s="60" t="n"/>
    </row>
    <row r="4569">
      <c r="C4569" s="60" t="n"/>
      <c r="D4569" s="60" t="n"/>
    </row>
    <row r="4570">
      <c r="C4570" s="60" t="n"/>
      <c r="D4570" s="60" t="n"/>
    </row>
    <row r="4571">
      <c r="C4571" s="60" t="n"/>
      <c r="D4571" s="60" t="n"/>
    </row>
    <row r="4572">
      <c r="C4572" s="60" t="n"/>
      <c r="D4572" s="60" t="n"/>
    </row>
    <row r="4573">
      <c r="C4573" s="60" t="n"/>
      <c r="D4573" s="60" t="n"/>
    </row>
    <row r="4574">
      <c r="C4574" s="60" t="n"/>
      <c r="D4574" s="60" t="n"/>
    </row>
    <row r="4575">
      <c r="C4575" s="60" t="n"/>
      <c r="D4575" s="60" t="n"/>
    </row>
    <row r="4576">
      <c r="C4576" s="60" t="n"/>
      <c r="D4576" s="60" t="n"/>
    </row>
    <row r="4577">
      <c r="C4577" s="60" t="n"/>
      <c r="D4577" s="60" t="n"/>
    </row>
    <row r="4578">
      <c r="C4578" s="60" t="n"/>
      <c r="D4578" s="60" t="n"/>
    </row>
    <row r="4579">
      <c r="C4579" s="60" t="n"/>
      <c r="D4579" s="60" t="n"/>
    </row>
    <row r="4580">
      <c r="C4580" s="60" t="n"/>
      <c r="D4580" s="60" t="n"/>
    </row>
    <row r="4581">
      <c r="C4581" s="60" t="n"/>
      <c r="D4581" s="60" t="n"/>
    </row>
    <row r="4582">
      <c r="C4582" s="60" t="n"/>
      <c r="D4582" s="60" t="n"/>
    </row>
    <row r="4583">
      <c r="C4583" s="60" t="n"/>
      <c r="D4583" s="60" t="n"/>
    </row>
    <row r="4584">
      <c r="C4584" s="60" t="n"/>
      <c r="D4584" s="60" t="n"/>
    </row>
    <row r="4585">
      <c r="C4585" s="60" t="n"/>
      <c r="D4585" s="60" t="n"/>
    </row>
    <row r="4586">
      <c r="C4586" s="60" t="n"/>
      <c r="D4586" s="60" t="n"/>
    </row>
    <row r="4587">
      <c r="C4587" s="60" t="n"/>
      <c r="D4587" s="60" t="n"/>
    </row>
    <row r="4588">
      <c r="C4588" s="60" t="n"/>
      <c r="D4588" s="60" t="n"/>
    </row>
    <row r="4589">
      <c r="C4589" s="60" t="n"/>
      <c r="D4589" s="60" t="n"/>
    </row>
    <row r="4590">
      <c r="C4590" s="60" t="n"/>
      <c r="D4590" s="60" t="n"/>
    </row>
    <row r="4591">
      <c r="C4591" s="60" t="n"/>
      <c r="D4591" s="60" t="n"/>
    </row>
    <row r="4592">
      <c r="C4592" s="60" t="n"/>
      <c r="D4592" s="60" t="n"/>
    </row>
    <row r="4593">
      <c r="C4593" s="60" t="n"/>
      <c r="D4593" s="60" t="n"/>
    </row>
    <row r="4594">
      <c r="C4594" s="60" t="n"/>
      <c r="D4594" s="60" t="n"/>
    </row>
    <row r="4595">
      <c r="C4595" s="60" t="n"/>
      <c r="D4595" s="60" t="n"/>
    </row>
    <row r="4596">
      <c r="C4596" s="60" t="n"/>
      <c r="D4596" s="60" t="n"/>
    </row>
    <row r="4597">
      <c r="C4597" s="60" t="n"/>
      <c r="D4597" s="60" t="n"/>
    </row>
    <row r="4598">
      <c r="C4598" s="60" t="n"/>
      <c r="D4598" s="60" t="n"/>
    </row>
    <row r="4599">
      <c r="C4599" s="60" t="n"/>
      <c r="D4599" s="60" t="n"/>
    </row>
    <row r="4600">
      <c r="C4600" s="60" t="n"/>
      <c r="D4600" s="60" t="n"/>
    </row>
    <row r="4601">
      <c r="C4601" s="60" t="n"/>
      <c r="D4601" s="60" t="n"/>
    </row>
    <row r="4602">
      <c r="C4602" s="60" t="n"/>
      <c r="D4602" s="60" t="n"/>
    </row>
    <row r="4603">
      <c r="C4603" s="60" t="n"/>
      <c r="D4603" s="60" t="n"/>
    </row>
    <row r="4604">
      <c r="C4604" s="60" t="n"/>
      <c r="D4604" s="60" t="n"/>
    </row>
    <row r="4605">
      <c r="C4605" s="60" t="n"/>
      <c r="D4605" s="60" t="n"/>
    </row>
    <row r="4606">
      <c r="C4606" s="60" t="n"/>
      <c r="D4606" s="60" t="n"/>
    </row>
    <row r="4607">
      <c r="C4607" s="60" t="n"/>
      <c r="D4607" s="60" t="n"/>
    </row>
    <row r="4608">
      <c r="C4608" s="60" t="n"/>
      <c r="D4608" s="60" t="n"/>
    </row>
    <row r="4609">
      <c r="C4609" s="60" t="n"/>
      <c r="D4609" s="60" t="n"/>
    </row>
    <row r="4610">
      <c r="C4610" s="60" t="n"/>
      <c r="D4610" s="60" t="n"/>
    </row>
    <row r="4611">
      <c r="C4611" s="60" t="n"/>
      <c r="D4611" s="60" t="n"/>
    </row>
    <row r="4612">
      <c r="C4612" s="60" t="n"/>
      <c r="D4612" s="60" t="n"/>
    </row>
    <row r="4613">
      <c r="C4613" s="60" t="n"/>
      <c r="D4613" s="60" t="n"/>
    </row>
    <row r="4614">
      <c r="C4614" s="60" t="n"/>
      <c r="D4614" s="60" t="n"/>
    </row>
    <row r="4615">
      <c r="C4615" s="60" t="n"/>
      <c r="D4615" s="60" t="n"/>
    </row>
    <row r="4616">
      <c r="C4616" s="60" t="n"/>
      <c r="D4616" s="60" t="n"/>
    </row>
    <row r="4617">
      <c r="C4617" s="60" t="n"/>
      <c r="D4617" s="60" t="n"/>
    </row>
    <row r="4618">
      <c r="C4618" s="60" t="n"/>
      <c r="D4618" s="60" t="n"/>
    </row>
    <row r="4619">
      <c r="C4619" s="60" t="n"/>
      <c r="D4619" s="60" t="n"/>
    </row>
    <row r="4620">
      <c r="C4620" s="60" t="n"/>
      <c r="D4620" s="60" t="n"/>
    </row>
    <row r="4621">
      <c r="C4621" s="60" t="n"/>
      <c r="D4621" s="60" t="n"/>
    </row>
    <row r="4622">
      <c r="C4622" s="60" t="n"/>
      <c r="D4622" s="60" t="n"/>
    </row>
    <row r="4623">
      <c r="C4623" s="60" t="n"/>
      <c r="D4623" s="60" t="n"/>
    </row>
    <row r="4624">
      <c r="C4624" s="60" t="n"/>
      <c r="D4624" s="60" t="n"/>
    </row>
    <row r="4625">
      <c r="C4625" s="60" t="n"/>
      <c r="D4625" s="60" t="n"/>
    </row>
    <row r="4626">
      <c r="C4626" s="60" t="n"/>
      <c r="D4626" s="60" t="n"/>
    </row>
    <row r="4627">
      <c r="C4627" s="60" t="n"/>
      <c r="D4627" s="60" t="n"/>
    </row>
    <row r="4628">
      <c r="C4628" s="60" t="n"/>
      <c r="D4628" s="60" t="n"/>
    </row>
    <row r="4629">
      <c r="C4629" s="60" t="n"/>
      <c r="D4629" s="60" t="n"/>
    </row>
    <row r="4630">
      <c r="C4630" s="60" t="n"/>
      <c r="D4630" s="60" t="n"/>
    </row>
    <row r="4631">
      <c r="C4631" s="60" t="n"/>
      <c r="D4631" s="60" t="n"/>
    </row>
    <row r="4632">
      <c r="C4632" s="60" t="n"/>
      <c r="D4632" s="60" t="n"/>
    </row>
    <row r="4633">
      <c r="C4633" s="60" t="n"/>
      <c r="D4633" s="60" t="n"/>
    </row>
    <row r="4634">
      <c r="C4634" s="60" t="n"/>
      <c r="D4634" s="60" t="n"/>
    </row>
    <row r="4635">
      <c r="C4635" s="60" t="n"/>
      <c r="D4635" s="60" t="n"/>
    </row>
    <row r="4636">
      <c r="C4636" s="60" t="n"/>
      <c r="D4636" s="60" t="n"/>
    </row>
    <row r="4637">
      <c r="C4637" s="60" t="n"/>
      <c r="D4637" s="60" t="n"/>
    </row>
    <row r="4638">
      <c r="C4638" s="60" t="n"/>
      <c r="D4638" s="60" t="n"/>
    </row>
    <row r="4639">
      <c r="C4639" s="60" t="n"/>
      <c r="D4639" s="60" t="n"/>
    </row>
    <row r="4640">
      <c r="C4640" s="60" t="n"/>
      <c r="D4640" s="60" t="n"/>
    </row>
    <row r="4641">
      <c r="C4641" s="60" t="n"/>
      <c r="D4641" s="60" t="n"/>
    </row>
    <row r="4642">
      <c r="C4642" s="60" t="n"/>
      <c r="D4642" s="60" t="n"/>
    </row>
    <row r="4643">
      <c r="C4643" s="60" t="n"/>
      <c r="D4643" s="60" t="n"/>
    </row>
    <row r="4644">
      <c r="C4644" s="60" t="n"/>
      <c r="D4644" s="60" t="n"/>
    </row>
    <row r="4645">
      <c r="C4645" s="60" t="n"/>
      <c r="D4645" s="60" t="n"/>
    </row>
    <row r="4646">
      <c r="C4646" s="60" t="n"/>
      <c r="D4646" s="60" t="n"/>
    </row>
    <row r="4647">
      <c r="C4647" s="60" t="n"/>
      <c r="D4647" s="60" t="n"/>
    </row>
    <row r="4648">
      <c r="C4648" s="60" t="n"/>
      <c r="D4648" s="60" t="n"/>
    </row>
    <row r="4649">
      <c r="C4649" s="60" t="n"/>
      <c r="D4649" s="60" t="n"/>
    </row>
    <row r="4650">
      <c r="C4650" s="60" t="n"/>
      <c r="D4650" s="60" t="n"/>
    </row>
    <row r="4651">
      <c r="C4651" s="60" t="n"/>
      <c r="D4651" s="60" t="n"/>
    </row>
    <row r="4652">
      <c r="C4652" s="60" t="n"/>
      <c r="D4652" s="60" t="n"/>
    </row>
    <row r="4653">
      <c r="C4653" s="60" t="n"/>
      <c r="D4653" s="60" t="n"/>
    </row>
    <row r="4654">
      <c r="C4654" s="60" t="n"/>
      <c r="D4654" s="60" t="n"/>
    </row>
    <row r="4655">
      <c r="C4655" s="60" t="n"/>
      <c r="D4655" s="60" t="n"/>
    </row>
    <row r="4656">
      <c r="C4656" s="60" t="n"/>
      <c r="D4656" s="60" t="n"/>
    </row>
    <row r="4657">
      <c r="C4657" s="60" t="n"/>
      <c r="D4657" s="60" t="n"/>
    </row>
    <row r="4658">
      <c r="C4658" s="60" t="n"/>
      <c r="D4658" s="60" t="n"/>
    </row>
    <row r="4659">
      <c r="C4659" s="60" t="n"/>
      <c r="D4659" s="60" t="n"/>
    </row>
    <row r="4660">
      <c r="C4660" s="60" t="n"/>
      <c r="D4660" s="60" t="n"/>
    </row>
    <row r="4661">
      <c r="C4661" s="60" t="n"/>
      <c r="D4661" s="60" t="n"/>
    </row>
    <row r="4662">
      <c r="C4662" s="60" t="n"/>
      <c r="D4662" s="60" t="n"/>
    </row>
    <row r="4663">
      <c r="C4663" s="60" t="n"/>
      <c r="D4663" s="60" t="n"/>
    </row>
    <row r="4664">
      <c r="C4664" s="60" t="n"/>
      <c r="D4664" s="60" t="n"/>
    </row>
    <row r="4665">
      <c r="C4665" s="60" t="n"/>
      <c r="D4665" s="60" t="n"/>
    </row>
    <row r="4666">
      <c r="C4666" s="60" t="n"/>
      <c r="D4666" s="60" t="n"/>
    </row>
    <row r="4667">
      <c r="C4667" s="60" t="n"/>
      <c r="D4667" s="60" t="n"/>
    </row>
    <row r="4668">
      <c r="C4668" s="60" t="n"/>
      <c r="D4668" s="60" t="n"/>
    </row>
    <row r="4669">
      <c r="C4669" s="60" t="n"/>
      <c r="D4669" s="60" t="n"/>
    </row>
    <row r="4670">
      <c r="C4670" s="60" t="n"/>
      <c r="D4670" s="60" t="n"/>
    </row>
    <row r="4671">
      <c r="C4671" s="60" t="n"/>
      <c r="D4671" s="60" t="n"/>
    </row>
    <row r="4672">
      <c r="C4672" s="60" t="n"/>
      <c r="D4672" s="60" t="n"/>
    </row>
    <row r="4673">
      <c r="C4673" s="60" t="n"/>
      <c r="D4673" s="60" t="n"/>
    </row>
    <row r="4674">
      <c r="C4674" s="60" t="n"/>
      <c r="D4674" s="60" t="n"/>
    </row>
    <row r="4675">
      <c r="C4675" s="60" t="n"/>
      <c r="D4675" s="60" t="n"/>
    </row>
    <row r="4676">
      <c r="C4676" s="60" t="n"/>
      <c r="D4676" s="60" t="n"/>
    </row>
    <row r="4677">
      <c r="C4677" s="60" t="n"/>
      <c r="D4677" s="60" t="n"/>
    </row>
    <row r="4678">
      <c r="C4678" s="60" t="n"/>
      <c r="D4678" s="60" t="n"/>
    </row>
    <row r="4679">
      <c r="C4679" s="60" t="n"/>
      <c r="D4679" s="60" t="n"/>
    </row>
    <row r="4680">
      <c r="C4680" s="60" t="n"/>
      <c r="D4680" s="60" t="n"/>
    </row>
    <row r="4681">
      <c r="C4681" s="60" t="n"/>
      <c r="D4681" s="60" t="n"/>
    </row>
    <row r="4682">
      <c r="C4682" s="60" t="n"/>
      <c r="D4682" s="60" t="n"/>
    </row>
    <row r="4683">
      <c r="C4683" s="60" t="n"/>
      <c r="D4683" s="60" t="n"/>
    </row>
    <row r="4684">
      <c r="C4684" s="60" t="n"/>
      <c r="D4684" s="60" t="n"/>
    </row>
    <row r="4685">
      <c r="C4685" s="60" t="n"/>
      <c r="D4685" s="60" t="n"/>
    </row>
    <row r="4686">
      <c r="C4686" s="60" t="n"/>
      <c r="D4686" s="60" t="n"/>
    </row>
    <row r="4687">
      <c r="C4687" s="60" t="n"/>
      <c r="D4687" s="60" t="n"/>
    </row>
    <row r="4688">
      <c r="C4688" s="60" t="n"/>
      <c r="D4688" s="60" t="n"/>
    </row>
    <row r="4689">
      <c r="C4689" s="60" t="n"/>
      <c r="D4689" s="60" t="n"/>
    </row>
    <row r="4690">
      <c r="C4690" s="60" t="n"/>
      <c r="D4690" s="60" t="n"/>
    </row>
    <row r="4691">
      <c r="C4691" s="60" t="n"/>
      <c r="D4691" s="60" t="n"/>
    </row>
    <row r="4692">
      <c r="C4692" s="60" t="n"/>
      <c r="D4692" s="60" t="n"/>
    </row>
    <row r="4693">
      <c r="C4693" s="60" t="n"/>
      <c r="D4693" s="60" t="n"/>
    </row>
    <row r="4694">
      <c r="C4694" s="60" t="n"/>
      <c r="D4694" s="60" t="n"/>
    </row>
    <row r="4695">
      <c r="C4695" s="60" t="n"/>
      <c r="D4695" s="60" t="n"/>
    </row>
    <row r="4696">
      <c r="C4696" s="60" t="n"/>
      <c r="D4696" s="60" t="n"/>
    </row>
    <row r="4697">
      <c r="C4697" s="60" t="n"/>
      <c r="D4697" s="60" t="n"/>
    </row>
    <row r="4698">
      <c r="C4698" s="60" t="n"/>
      <c r="D4698" s="60" t="n"/>
    </row>
    <row r="4699">
      <c r="C4699" s="60" t="n"/>
      <c r="D4699" s="60" t="n"/>
    </row>
    <row r="4700">
      <c r="C4700" s="60" t="n"/>
      <c r="D4700" s="60" t="n"/>
    </row>
    <row r="4701">
      <c r="C4701" s="60" t="n"/>
      <c r="D4701" s="60" t="n"/>
    </row>
    <row r="4702">
      <c r="C4702" s="60" t="n"/>
      <c r="D4702" s="60" t="n"/>
    </row>
    <row r="4703">
      <c r="C4703" s="60" t="n"/>
      <c r="D4703" s="60" t="n"/>
    </row>
    <row r="4704">
      <c r="C4704" s="60" t="n"/>
      <c r="D4704" s="60" t="n"/>
    </row>
    <row r="4705">
      <c r="C4705" s="60" t="n"/>
      <c r="D4705" s="60" t="n"/>
    </row>
    <row r="4706">
      <c r="C4706" s="60" t="n"/>
      <c r="D4706" s="60" t="n"/>
    </row>
    <row r="4707">
      <c r="C4707" s="60" t="n"/>
      <c r="D4707" s="60" t="n"/>
    </row>
    <row r="4708">
      <c r="C4708" s="60" t="n"/>
      <c r="D4708" s="60" t="n"/>
    </row>
    <row r="4709">
      <c r="C4709" s="60" t="n"/>
      <c r="D4709" s="60" t="n"/>
    </row>
    <row r="4710">
      <c r="C4710" s="60" t="n"/>
      <c r="D4710" s="60" t="n"/>
    </row>
    <row r="4711">
      <c r="C4711" s="60" t="n"/>
      <c r="D4711" s="60" t="n"/>
    </row>
    <row r="4712">
      <c r="C4712" s="60" t="n"/>
      <c r="D4712" s="60" t="n"/>
    </row>
    <row r="4713">
      <c r="C4713" s="60" t="n"/>
      <c r="D4713" s="60" t="n"/>
    </row>
    <row r="4714">
      <c r="C4714" s="60" t="n"/>
      <c r="D4714" s="60" t="n"/>
    </row>
    <row r="4715">
      <c r="C4715" s="60" t="n"/>
      <c r="D4715" s="60" t="n"/>
    </row>
    <row r="4716">
      <c r="C4716" s="60" t="n"/>
      <c r="D4716" s="60" t="n"/>
    </row>
    <row r="4717">
      <c r="C4717" s="60" t="n"/>
      <c r="D4717" s="60" t="n"/>
    </row>
    <row r="4718">
      <c r="C4718" s="60" t="n"/>
      <c r="D4718" s="60" t="n"/>
    </row>
    <row r="4719">
      <c r="C4719" s="60" t="n"/>
      <c r="D4719" s="60" t="n"/>
    </row>
    <row r="4720">
      <c r="C4720" s="60" t="n"/>
      <c r="D4720" s="60" t="n"/>
    </row>
    <row r="4721">
      <c r="C4721" s="60" t="n"/>
      <c r="D4721" s="60" t="n"/>
    </row>
    <row r="4722">
      <c r="C4722" s="60" t="n"/>
      <c r="D4722" s="60" t="n"/>
    </row>
    <row r="4723">
      <c r="C4723" s="60" t="n"/>
      <c r="D4723" s="60" t="n"/>
    </row>
    <row r="4724">
      <c r="C4724" s="60" t="n"/>
      <c r="D4724" s="60" t="n"/>
    </row>
    <row r="4725">
      <c r="C4725" s="60" t="n"/>
      <c r="D4725" s="60" t="n"/>
    </row>
    <row r="4726">
      <c r="C4726" s="60" t="n"/>
      <c r="D4726" s="60" t="n"/>
    </row>
    <row r="4727">
      <c r="C4727" s="60" t="n"/>
      <c r="D4727" s="60" t="n"/>
    </row>
    <row r="4728">
      <c r="C4728" s="60" t="n"/>
      <c r="D4728" s="60" t="n"/>
    </row>
    <row r="4729">
      <c r="C4729" s="60" t="n"/>
      <c r="D4729" s="60" t="n"/>
    </row>
    <row r="4730">
      <c r="C4730" s="60" t="n"/>
      <c r="D4730" s="60" t="n"/>
    </row>
    <row r="4731">
      <c r="C4731" s="60" t="n"/>
      <c r="D4731" s="60" t="n"/>
    </row>
    <row r="4732">
      <c r="C4732" s="60" t="n"/>
      <c r="D4732" s="60" t="n"/>
    </row>
    <row r="4733">
      <c r="C4733" s="60" t="n"/>
      <c r="D4733" s="60" t="n"/>
    </row>
    <row r="4734">
      <c r="C4734" s="60" t="n"/>
      <c r="D4734" s="60" t="n"/>
    </row>
    <row r="4735">
      <c r="C4735" s="60" t="n"/>
      <c r="D4735" s="60" t="n"/>
    </row>
    <row r="4736">
      <c r="C4736" s="60" t="n"/>
      <c r="D4736" s="60" t="n"/>
    </row>
    <row r="4737">
      <c r="C4737" s="60" t="n"/>
      <c r="D4737" s="60" t="n"/>
    </row>
    <row r="4738">
      <c r="C4738" s="60" t="n"/>
      <c r="D4738" s="60" t="n"/>
    </row>
    <row r="4739">
      <c r="C4739" s="60" t="n"/>
      <c r="D4739" s="60" t="n"/>
    </row>
    <row r="4740">
      <c r="C4740" s="60" t="n"/>
      <c r="D4740" s="60" t="n"/>
    </row>
    <row r="4741">
      <c r="C4741" s="60" t="n"/>
      <c r="D4741" s="60" t="n"/>
    </row>
    <row r="4742">
      <c r="C4742" s="60" t="n"/>
      <c r="D4742" s="60" t="n"/>
    </row>
    <row r="4743">
      <c r="C4743" s="60" t="n"/>
      <c r="D4743" s="60" t="n"/>
    </row>
    <row r="4744">
      <c r="C4744" s="60" t="n"/>
      <c r="D4744" s="60" t="n"/>
    </row>
    <row r="4745">
      <c r="C4745" s="60" t="n"/>
      <c r="D4745" s="60" t="n"/>
    </row>
    <row r="4746">
      <c r="C4746" s="60" t="n"/>
      <c r="D4746" s="60" t="n"/>
    </row>
    <row r="4747">
      <c r="C4747" s="60" t="n"/>
      <c r="D4747" s="60" t="n"/>
    </row>
    <row r="4748">
      <c r="C4748" s="60" t="n"/>
      <c r="D4748" s="60" t="n"/>
    </row>
    <row r="4749">
      <c r="C4749" s="60" t="n"/>
      <c r="D4749" s="60" t="n"/>
    </row>
    <row r="4750">
      <c r="C4750" s="60" t="n"/>
      <c r="D4750" s="60" t="n"/>
    </row>
    <row r="4751">
      <c r="C4751" s="60" t="n"/>
      <c r="D4751" s="60" t="n"/>
    </row>
    <row r="4752">
      <c r="C4752" s="60" t="n"/>
      <c r="D4752" s="60" t="n"/>
    </row>
    <row r="4753">
      <c r="C4753" s="60" t="n"/>
      <c r="D4753" s="60" t="n"/>
    </row>
    <row r="4754">
      <c r="C4754" s="60" t="n"/>
      <c r="D4754" s="60" t="n"/>
    </row>
    <row r="4755">
      <c r="C4755" s="60" t="n"/>
      <c r="D4755" s="60" t="n"/>
    </row>
    <row r="4756">
      <c r="C4756" s="60" t="n"/>
      <c r="D4756" s="60" t="n"/>
    </row>
    <row r="4757">
      <c r="C4757" s="60" t="n"/>
      <c r="D4757" s="60" t="n"/>
    </row>
    <row r="4758">
      <c r="C4758" s="60" t="n"/>
      <c r="D4758" s="60" t="n"/>
    </row>
    <row r="4759">
      <c r="C4759" s="60" t="n"/>
      <c r="D4759" s="60" t="n"/>
    </row>
    <row r="4760">
      <c r="C4760" s="60" t="n"/>
      <c r="D4760" s="60" t="n"/>
    </row>
    <row r="4761">
      <c r="C4761" s="60" t="n"/>
      <c r="D4761" s="60" t="n"/>
    </row>
    <row r="4762">
      <c r="C4762" s="60" t="n"/>
      <c r="D4762" s="60" t="n"/>
    </row>
    <row r="4763">
      <c r="C4763" s="60" t="n"/>
      <c r="D4763" s="60" t="n"/>
    </row>
    <row r="4764">
      <c r="C4764" s="60" t="n"/>
      <c r="D4764" s="60" t="n"/>
    </row>
    <row r="4765">
      <c r="C4765" s="60" t="n"/>
      <c r="D4765" s="60" t="n"/>
    </row>
    <row r="4766">
      <c r="C4766" s="60" t="n"/>
      <c r="D4766" s="60" t="n"/>
    </row>
    <row r="4767">
      <c r="C4767" s="60" t="n"/>
      <c r="D4767" s="60" t="n"/>
    </row>
    <row r="4768">
      <c r="C4768" s="60" t="n"/>
      <c r="D4768" s="60" t="n"/>
    </row>
    <row r="4769">
      <c r="C4769" s="60" t="n"/>
      <c r="D4769" s="60" t="n"/>
    </row>
    <row r="4770">
      <c r="C4770" s="60" t="n"/>
      <c r="D4770" s="60" t="n"/>
    </row>
    <row r="4771">
      <c r="C4771" s="60" t="n"/>
      <c r="D4771" s="60" t="n"/>
    </row>
    <row r="4772">
      <c r="C4772" s="60" t="n"/>
      <c r="D4772" s="60" t="n"/>
    </row>
    <row r="4773">
      <c r="C4773" s="60" t="n"/>
      <c r="D4773" s="60" t="n"/>
    </row>
    <row r="4774">
      <c r="C4774" s="60" t="n"/>
      <c r="D4774" s="60" t="n"/>
    </row>
    <row r="4775">
      <c r="C4775" s="60" t="n"/>
      <c r="D4775" s="60" t="n"/>
    </row>
    <row r="4776">
      <c r="C4776" s="60" t="n"/>
      <c r="D4776" s="60" t="n"/>
    </row>
    <row r="4777">
      <c r="C4777" s="60" t="n"/>
      <c r="D4777" s="60" t="n"/>
    </row>
    <row r="4778">
      <c r="C4778" s="60" t="n"/>
      <c r="D4778" s="60" t="n"/>
    </row>
    <row r="4779">
      <c r="C4779" s="60" t="n"/>
      <c r="D4779" s="60" t="n"/>
    </row>
    <row r="4780">
      <c r="C4780" s="60" t="n"/>
      <c r="D4780" s="60" t="n"/>
    </row>
    <row r="4781">
      <c r="C4781" s="60" t="n"/>
      <c r="D4781" s="60" t="n"/>
    </row>
    <row r="4782">
      <c r="C4782" s="60" t="n"/>
      <c r="D4782" s="60" t="n"/>
    </row>
    <row r="4783">
      <c r="C4783" s="60" t="n"/>
      <c r="D4783" s="60" t="n"/>
    </row>
    <row r="4784">
      <c r="C4784" s="60" t="n"/>
      <c r="D4784" s="60" t="n"/>
    </row>
    <row r="4785">
      <c r="C4785" s="60" t="n"/>
      <c r="D4785" s="60" t="n"/>
    </row>
    <row r="4786">
      <c r="C4786" s="60" t="n"/>
      <c r="D4786" s="60" t="n"/>
    </row>
    <row r="4787">
      <c r="C4787" s="60" t="n"/>
      <c r="D4787" s="60" t="n"/>
    </row>
    <row r="4788">
      <c r="C4788" s="60" t="n"/>
      <c r="D4788" s="60" t="n"/>
    </row>
    <row r="4789">
      <c r="C4789" s="60" t="n"/>
      <c r="D4789" s="60" t="n"/>
    </row>
    <row r="4790">
      <c r="C4790" s="60" t="n"/>
      <c r="D4790" s="60" t="n"/>
    </row>
    <row r="4791">
      <c r="C4791" s="60" t="n"/>
      <c r="D4791" s="60" t="n"/>
    </row>
    <row r="4792">
      <c r="C4792" s="60" t="n"/>
      <c r="D4792" s="60" t="n"/>
    </row>
    <row r="4793">
      <c r="C4793" s="60" t="n"/>
      <c r="D4793" s="60" t="n"/>
    </row>
    <row r="4794">
      <c r="C4794" s="60" t="n"/>
      <c r="D4794" s="60" t="n"/>
    </row>
    <row r="4795">
      <c r="C4795" s="60" t="n"/>
      <c r="D4795" s="60" t="n"/>
    </row>
    <row r="4796">
      <c r="C4796" s="60" t="n"/>
      <c r="D4796" s="60" t="n"/>
    </row>
    <row r="4797">
      <c r="C4797" s="60" t="n"/>
      <c r="D4797" s="60" t="n"/>
    </row>
    <row r="4798">
      <c r="C4798" s="60" t="n"/>
      <c r="D4798" s="60" t="n"/>
    </row>
    <row r="4799">
      <c r="C4799" s="60" t="n"/>
      <c r="D4799" s="60" t="n"/>
    </row>
    <row r="4800">
      <c r="C4800" s="60" t="n"/>
      <c r="D4800" s="60" t="n"/>
    </row>
    <row r="4801">
      <c r="C4801" s="60" t="n"/>
      <c r="D4801" s="60" t="n"/>
    </row>
    <row r="4802">
      <c r="C4802" s="60" t="n"/>
      <c r="D4802" s="60" t="n"/>
    </row>
    <row r="4803">
      <c r="C4803" s="60" t="n"/>
      <c r="D4803" s="60" t="n"/>
    </row>
    <row r="4804">
      <c r="C4804" s="60" t="n"/>
      <c r="D4804" s="60" t="n"/>
    </row>
    <row r="4805">
      <c r="C4805" s="60" t="n"/>
      <c r="D4805" s="60" t="n"/>
    </row>
    <row r="4806">
      <c r="C4806" s="60" t="n"/>
      <c r="D4806" s="60" t="n"/>
    </row>
    <row r="4807">
      <c r="C4807" s="60" t="n"/>
      <c r="D4807" s="60" t="n"/>
    </row>
    <row r="4808">
      <c r="C4808" s="60" t="n"/>
      <c r="D4808" s="60" t="n"/>
    </row>
    <row r="4809">
      <c r="C4809" s="60" t="n"/>
      <c r="D4809" s="60" t="n"/>
    </row>
    <row r="4810">
      <c r="C4810" s="60" t="n"/>
      <c r="D4810" s="60" t="n"/>
    </row>
    <row r="4811">
      <c r="C4811" s="60" t="n"/>
      <c r="D4811" s="60" t="n"/>
    </row>
    <row r="4812">
      <c r="C4812" s="60" t="n"/>
      <c r="D4812" s="60" t="n"/>
    </row>
    <row r="4813">
      <c r="C4813" s="60" t="n"/>
      <c r="D4813" s="60" t="n"/>
    </row>
    <row r="4814">
      <c r="C4814" s="60" t="n"/>
      <c r="D4814" s="60" t="n"/>
    </row>
    <row r="4815">
      <c r="C4815" s="60" t="n"/>
      <c r="D4815" s="60" t="n"/>
    </row>
    <row r="4816">
      <c r="C4816" s="60" t="n"/>
      <c r="D4816" s="60" t="n"/>
    </row>
    <row r="4817">
      <c r="C4817" s="60" t="n"/>
      <c r="D4817" s="60" t="n"/>
    </row>
    <row r="4818">
      <c r="C4818" s="60" t="n"/>
      <c r="D4818" s="60" t="n"/>
    </row>
    <row r="4819">
      <c r="C4819" s="60" t="n"/>
      <c r="D4819" s="60" t="n"/>
    </row>
    <row r="4820">
      <c r="C4820" s="60" t="n"/>
      <c r="D4820" s="60" t="n"/>
    </row>
    <row r="4821">
      <c r="C4821" s="60" t="n"/>
      <c r="D4821" s="60" t="n"/>
    </row>
    <row r="4822">
      <c r="C4822" s="60" t="n"/>
      <c r="D4822" s="60" t="n"/>
    </row>
    <row r="4823">
      <c r="C4823" s="60" t="n"/>
      <c r="D4823" s="60" t="n"/>
    </row>
    <row r="4824">
      <c r="C4824" s="60" t="n"/>
      <c r="D4824" s="60" t="n"/>
    </row>
    <row r="4825">
      <c r="C4825" s="60" t="n"/>
      <c r="D4825" s="60" t="n"/>
    </row>
    <row r="4826">
      <c r="C4826" s="60" t="n"/>
      <c r="D4826" s="60" t="n"/>
    </row>
    <row r="4827">
      <c r="C4827" s="60" t="n"/>
      <c r="D4827" s="60" t="n"/>
    </row>
    <row r="4828">
      <c r="C4828" s="60" t="n"/>
      <c r="D4828" s="60" t="n"/>
    </row>
    <row r="4829">
      <c r="C4829" s="60" t="n"/>
      <c r="D4829" s="60" t="n"/>
    </row>
    <row r="4830">
      <c r="C4830" s="60" t="n"/>
      <c r="D4830" s="60" t="n"/>
    </row>
    <row r="4831">
      <c r="C4831" s="60" t="n"/>
      <c r="D4831" s="60" t="n"/>
    </row>
    <row r="4832">
      <c r="C4832" s="60" t="n"/>
      <c r="D4832" s="60" t="n"/>
    </row>
    <row r="4833">
      <c r="C4833" s="60" t="n"/>
      <c r="D4833" s="60" t="n"/>
    </row>
    <row r="4834">
      <c r="C4834" s="60" t="n"/>
      <c r="D4834" s="60" t="n"/>
    </row>
    <row r="4835">
      <c r="C4835" s="60" t="n"/>
      <c r="D4835" s="60" t="n"/>
    </row>
    <row r="4836">
      <c r="C4836" s="60" t="n"/>
      <c r="D4836" s="60" t="n"/>
    </row>
    <row r="4837">
      <c r="C4837" s="60" t="n"/>
      <c r="D4837" s="60" t="n"/>
    </row>
    <row r="4838">
      <c r="C4838" s="60" t="n"/>
      <c r="D4838" s="60" t="n"/>
    </row>
    <row r="4839">
      <c r="C4839" s="60" t="n"/>
      <c r="D4839" s="60" t="n"/>
    </row>
    <row r="4840">
      <c r="C4840" s="60" t="n"/>
      <c r="D4840" s="60" t="n"/>
    </row>
    <row r="4841">
      <c r="C4841" s="60" t="n"/>
      <c r="D4841" s="60" t="n"/>
    </row>
    <row r="4842">
      <c r="C4842" s="60" t="n"/>
      <c r="D4842" s="60" t="n"/>
    </row>
    <row r="4843">
      <c r="C4843" s="60" t="n"/>
      <c r="D4843" s="60" t="n"/>
    </row>
    <row r="4844">
      <c r="C4844" s="60" t="n"/>
      <c r="D4844" s="60" t="n"/>
    </row>
    <row r="4845">
      <c r="C4845" s="60" t="n"/>
      <c r="D4845" s="60" t="n"/>
    </row>
    <row r="4846">
      <c r="C4846" s="60" t="n"/>
      <c r="D4846" s="60" t="n"/>
    </row>
    <row r="4847">
      <c r="C4847" s="60" t="n"/>
      <c r="D4847" s="60" t="n"/>
    </row>
    <row r="4848">
      <c r="C4848" s="60" t="n"/>
      <c r="D4848" s="60" t="n"/>
    </row>
    <row r="4849">
      <c r="C4849" s="60" t="n"/>
      <c r="D4849" s="60" t="n"/>
    </row>
    <row r="4850">
      <c r="C4850" s="60" t="n"/>
      <c r="D4850" s="60" t="n"/>
    </row>
    <row r="4851">
      <c r="C4851" s="60" t="n"/>
      <c r="D4851" s="60" t="n"/>
    </row>
    <row r="4852">
      <c r="C4852" s="60" t="n"/>
      <c r="D4852" s="60" t="n"/>
    </row>
    <row r="4853">
      <c r="C4853" s="60" t="n"/>
      <c r="D4853" s="60" t="n"/>
    </row>
    <row r="4854">
      <c r="C4854" s="60" t="n"/>
      <c r="D4854" s="60" t="n"/>
    </row>
    <row r="4855">
      <c r="C4855" s="60" t="n"/>
      <c r="D4855" s="60" t="n"/>
    </row>
    <row r="4856">
      <c r="C4856" s="60" t="n"/>
      <c r="D4856" s="60" t="n"/>
    </row>
    <row r="4857">
      <c r="C4857" s="60" t="n"/>
      <c r="D4857" s="60" t="n"/>
    </row>
    <row r="4858">
      <c r="C4858" s="60" t="n"/>
      <c r="D4858" s="60" t="n"/>
    </row>
    <row r="4859">
      <c r="C4859" s="60" t="n"/>
      <c r="D4859" s="60" t="n"/>
    </row>
    <row r="4860">
      <c r="C4860" s="60" t="n"/>
      <c r="D4860" s="60" t="n"/>
    </row>
    <row r="4861">
      <c r="C4861" s="60" t="n"/>
      <c r="D4861" s="60" t="n"/>
    </row>
    <row r="4862">
      <c r="C4862" s="60" t="n"/>
      <c r="D4862" s="60" t="n"/>
    </row>
    <row r="4863">
      <c r="C4863" s="60" t="n"/>
      <c r="D4863" s="60" t="n"/>
    </row>
    <row r="4864">
      <c r="C4864" s="60" t="n"/>
      <c r="D4864" s="60" t="n"/>
    </row>
    <row r="4865">
      <c r="C4865" s="60" t="n"/>
      <c r="D4865" s="60" t="n"/>
    </row>
    <row r="4866">
      <c r="C4866" s="60" t="n"/>
      <c r="D4866" s="60" t="n"/>
    </row>
    <row r="4867">
      <c r="C4867" s="60" t="n"/>
      <c r="D4867" s="60" t="n"/>
    </row>
    <row r="4868">
      <c r="C4868" s="60" t="n"/>
      <c r="D4868" s="60" t="n"/>
    </row>
    <row r="4869">
      <c r="C4869" s="60" t="n"/>
      <c r="D4869" s="60" t="n"/>
    </row>
    <row r="4870">
      <c r="C4870" s="60" t="n"/>
      <c r="D4870" s="60" t="n"/>
    </row>
    <row r="4871">
      <c r="C4871" s="60" t="n"/>
      <c r="D4871" s="60" t="n"/>
    </row>
    <row r="4872">
      <c r="C4872" s="60" t="n"/>
      <c r="D4872" s="60" t="n"/>
    </row>
    <row r="4873">
      <c r="C4873" s="60" t="n"/>
      <c r="D4873" s="60" t="n"/>
    </row>
    <row r="4874">
      <c r="C4874" s="60" t="n"/>
      <c r="D4874" s="60" t="n"/>
    </row>
    <row r="4875">
      <c r="C4875" s="60" t="n"/>
      <c r="D4875" s="60" t="n"/>
    </row>
    <row r="4876">
      <c r="C4876" s="60" t="n"/>
      <c r="D4876" s="60" t="n"/>
    </row>
    <row r="4877">
      <c r="C4877" s="60" t="n"/>
      <c r="D4877" s="60" t="n"/>
    </row>
    <row r="4878">
      <c r="C4878" s="60" t="n"/>
      <c r="D4878" s="60" t="n"/>
    </row>
    <row r="4879">
      <c r="C4879" s="60" t="n"/>
      <c r="D4879" s="60" t="n"/>
    </row>
    <row r="4880">
      <c r="C4880" s="60" t="n"/>
      <c r="D4880" s="60" t="n"/>
    </row>
    <row r="4881">
      <c r="C4881" s="60" t="n"/>
      <c r="D4881" s="60" t="n"/>
    </row>
    <row r="4882">
      <c r="C4882" s="60" t="n"/>
      <c r="D4882" s="60" t="n"/>
    </row>
    <row r="4883">
      <c r="C4883" s="60" t="n"/>
      <c r="D4883" s="60" t="n"/>
    </row>
    <row r="4884">
      <c r="C4884" s="60" t="n"/>
      <c r="D4884" s="60" t="n"/>
    </row>
    <row r="4885">
      <c r="C4885" s="60" t="n"/>
      <c r="D4885" s="60" t="n"/>
    </row>
    <row r="4886">
      <c r="C4886" s="60" t="n"/>
      <c r="D4886" s="60" t="n"/>
    </row>
    <row r="4887">
      <c r="C4887" s="60" t="n"/>
      <c r="D4887" s="60" t="n"/>
    </row>
    <row r="4888">
      <c r="C4888" s="60" t="n"/>
      <c r="D4888" s="60" t="n"/>
    </row>
    <row r="4889">
      <c r="C4889" s="60" t="n"/>
      <c r="D4889" s="60" t="n"/>
    </row>
    <row r="4890">
      <c r="C4890" s="60" t="n"/>
      <c r="D4890" s="60" t="n"/>
    </row>
    <row r="4891">
      <c r="C4891" s="60" t="n"/>
      <c r="D4891" s="60" t="n"/>
    </row>
    <row r="4892">
      <c r="C4892" s="60" t="n"/>
      <c r="D4892" s="60" t="n"/>
    </row>
    <row r="4893">
      <c r="C4893" s="60" t="n"/>
      <c r="D4893" s="60" t="n"/>
    </row>
    <row r="4894">
      <c r="C4894" s="60" t="n"/>
      <c r="D4894" s="60" t="n"/>
    </row>
    <row r="4895">
      <c r="C4895" s="60" t="n"/>
      <c r="D4895" s="60" t="n"/>
    </row>
    <row r="4896">
      <c r="C4896" s="60" t="n"/>
      <c r="D4896" s="60" t="n"/>
    </row>
    <row r="4897">
      <c r="C4897" s="60" t="n"/>
      <c r="D4897" s="60" t="n"/>
    </row>
    <row r="4898">
      <c r="C4898" s="60" t="n"/>
      <c r="D4898" s="60" t="n"/>
    </row>
    <row r="4899">
      <c r="C4899" s="60" t="n"/>
      <c r="D4899" s="60" t="n"/>
    </row>
    <row r="4900">
      <c r="C4900" s="60" t="n"/>
      <c r="D4900" s="60" t="n"/>
    </row>
    <row r="4901">
      <c r="C4901" s="60" t="n"/>
      <c r="D4901" s="60" t="n"/>
    </row>
    <row r="4902">
      <c r="C4902" s="60" t="n"/>
      <c r="D4902" s="60" t="n"/>
    </row>
    <row r="4903">
      <c r="C4903" s="60" t="n"/>
      <c r="D4903" s="60" t="n"/>
    </row>
    <row r="4904">
      <c r="C4904" s="60" t="n"/>
      <c r="D4904" s="60" t="n"/>
    </row>
    <row r="4905">
      <c r="C4905" s="60" t="n"/>
      <c r="D4905" s="60" t="n"/>
    </row>
    <row r="4906">
      <c r="C4906" s="60" t="n"/>
      <c r="D4906" s="60" t="n"/>
    </row>
    <row r="4907">
      <c r="C4907" s="60" t="n"/>
      <c r="D4907" s="60" t="n"/>
    </row>
    <row r="4908">
      <c r="C4908" s="60" t="n"/>
      <c r="D4908" s="60" t="n"/>
    </row>
    <row r="4909">
      <c r="C4909" s="60" t="n"/>
      <c r="D4909" s="60" t="n"/>
    </row>
    <row r="4910">
      <c r="C4910" s="60" t="n"/>
      <c r="D4910" s="60" t="n"/>
    </row>
    <row r="4911">
      <c r="C4911" s="60" t="n"/>
      <c r="D4911" s="60" t="n"/>
    </row>
    <row r="4912">
      <c r="C4912" s="60" t="n"/>
      <c r="D4912" s="60" t="n"/>
    </row>
    <row r="4913">
      <c r="C4913" s="60" t="n"/>
      <c r="D4913" s="60" t="n"/>
    </row>
    <row r="4914">
      <c r="C4914" s="60" t="n"/>
      <c r="D4914" s="60" t="n"/>
    </row>
    <row r="4915">
      <c r="C4915" s="60" t="n"/>
      <c r="D4915" s="60" t="n"/>
    </row>
    <row r="4916">
      <c r="C4916" s="60" t="n"/>
      <c r="D4916" s="60" t="n"/>
    </row>
    <row r="4917">
      <c r="C4917" s="60" t="n"/>
      <c r="D4917" s="60" t="n"/>
    </row>
    <row r="4918">
      <c r="C4918" s="60" t="n"/>
      <c r="D4918" s="60" t="n"/>
    </row>
    <row r="4919">
      <c r="C4919" s="60" t="n"/>
      <c r="D4919" s="60" t="n"/>
    </row>
    <row r="4920">
      <c r="C4920" s="60" t="n"/>
      <c r="D4920" s="60" t="n"/>
    </row>
    <row r="4921">
      <c r="C4921" s="60" t="n"/>
      <c r="D4921" s="60" t="n"/>
    </row>
    <row r="4922">
      <c r="C4922" s="60" t="n"/>
      <c r="D4922" s="60" t="n"/>
    </row>
    <row r="4923">
      <c r="C4923" s="60" t="n"/>
      <c r="D4923" s="60" t="n"/>
    </row>
    <row r="4924">
      <c r="C4924" s="60" t="n"/>
      <c r="D4924" s="60" t="n"/>
    </row>
    <row r="4925">
      <c r="C4925" s="60" t="n"/>
      <c r="D4925" s="60" t="n"/>
    </row>
    <row r="4926">
      <c r="C4926" s="60" t="n"/>
      <c r="D4926" s="60" t="n"/>
    </row>
    <row r="4927">
      <c r="C4927" s="60" t="n"/>
      <c r="D4927" s="60" t="n"/>
    </row>
    <row r="4928">
      <c r="C4928" s="60" t="n"/>
      <c r="D4928" s="60" t="n"/>
    </row>
    <row r="4929">
      <c r="C4929" s="60" t="n"/>
      <c r="D4929" s="60" t="n"/>
    </row>
    <row r="4930">
      <c r="C4930" s="60" t="n"/>
      <c r="D4930" s="60" t="n"/>
    </row>
    <row r="4931">
      <c r="C4931" s="60" t="n"/>
      <c r="D4931" s="60" t="n"/>
    </row>
    <row r="4932">
      <c r="C4932" s="60" t="n"/>
      <c r="D4932" s="60" t="n"/>
    </row>
    <row r="4933">
      <c r="C4933" s="60" t="n"/>
      <c r="D4933" s="60" t="n"/>
    </row>
    <row r="4934">
      <c r="C4934" s="60" t="n"/>
      <c r="D4934" s="60" t="n"/>
    </row>
    <row r="4935">
      <c r="C4935" s="60" t="n"/>
      <c r="D4935" s="60" t="n"/>
    </row>
    <row r="4936">
      <c r="C4936" s="60" t="n"/>
      <c r="D4936" s="60" t="n"/>
    </row>
    <row r="4937">
      <c r="C4937" s="60" t="n"/>
      <c r="D4937" s="60" t="n"/>
    </row>
    <row r="4938">
      <c r="C4938" s="60" t="n"/>
      <c r="D4938" s="60" t="n"/>
    </row>
    <row r="4939">
      <c r="C4939" s="60" t="n"/>
      <c r="D4939" s="60" t="n"/>
    </row>
    <row r="4940">
      <c r="C4940" s="60" t="n"/>
      <c r="D4940" s="60" t="n"/>
    </row>
    <row r="4941">
      <c r="C4941" s="60" t="n"/>
      <c r="D4941" s="60" t="n"/>
    </row>
    <row r="4942">
      <c r="C4942" s="60" t="n"/>
      <c r="D4942" s="60" t="n"/>
    </row>
    <row r="4943">
      <c r="C4943" s="60" t="n"/>
      <c r="D4943" s="60" t="n"/>
    </row>
    <row r="4944">
      <c r="C4944" s="60" t="n"/>
      <c r="D4944" s="60" t="n"/>
    </row>
    <row r="4945">
      <c r="C4945" s="60" t="n"/>
      <c r="D4945" s="60" t="n"/>
    </row>
    <row r="4946">
      <c r="C4946" s="60" t="n"/>
      <c r="D4946" s="60" t="n"/>
    </row>
    <row r="4947">
      <c r="C4947" s="60" t="n"/>
      <c r="D4947" s="60" t="n"/>
    </row>
    <row r="4948">
      <c r="C4948" s="60" t="n"/>
      <c r="D4948" s="60" t="n"/>
    </row>
    <row r="4949">
      <c r="C4949" s="60" t="n"/>
      <c r="D4949" s="60" t="n"/>
    </row>
    <row r="4950">
      <c r="C4950" s="60" t="n"/>
      <c r="D4950" s="60" t="n"/>
    </row>
    <row r="4951">
      <c r="C4951" s="60" t="n"/>
      <c r="D4951" s="60" t="n"/>
    </row>
    <row r="4952">
      <c r="C4952" s="60" t="n"/>
      <c r="D4952" s="60" t="n"/>
    </row>
    <row r="4953">
      <c r="C4953" s="60" t="n"/>
      <c r="D4953" s="60" t="n"/>
    </row>
    <row r="4954">
      <c r="C4954" s="60" t="n"/>
      <c r="D4954" s="60" t="n"/>
    </row>
    <row r="4955">
      <c r="C4955" s="60" t="n"/>
      <c r="D4955" s="60" t="n"/>
    </row>
    <row r="4956">
      <c r="C4956" s="60" t="n"/>
      <c r="D4956" s="60" t="n"/>
    </row>
    <row r="4957">
      <c r="C4957" s="60" t="n"/>
      <c r="D4957" s="60" t="n"/>
    </row>
    <row r="4958">
      <c r="C4958" s="60" t="n"/>
      <c r="D4958" s="60" t="n"/>
    </row>
    <row r="4959">
      <c r="C4959" s="60" t="n"/>
      <c r="D4959" s="60" t="n"/>
    </row>
    <row r="4960">
      <c r="C4960" s="60" t="n"/>
      <c r="D4960" s="60" t="n"/>
    </row>
    <row r="4961">
      <c r="C4961" s="60" t="n"/>
      <c r="D4961" s="60" t="n"/>
    </row>
    <row r="4962">
      <c r="C4962" s="60" t="n"/>
      <c r="D4962" s="60" t="n"/>
    </row>
    <row r="4963">
      <c r="C4963" s="60" t="n"/>
      <c r="D4963" s="60" t="n"/>
    </row>
    <row r="4964">
      <c r="C4964" s="60" t="n"/>
      <c r="D4964" s="60" t="n"/>
    </row>
    <row r="4965">
      <c r="C4965" s="60" t="n"/>
      <c r="D4965" s="60" t="n"/>
    </row>
    <row r="4966">
      <c r="C4966" s="60" t="n"/>
      <c r="D4966" s="60" t="n"/>
    </row>
    <row r="4967">
      <c r="C4967" s="60" t="n"/>
      <c r="D4967" s="60" t="n"/>
    </row>
    <row r="4968">
      <c r="C4968" s="60" t="n"/>
      <c r="D4968" s="60" t="n"/>
    </row>
    <row r="4969">
      <c r="C4969" s="60" t="n"/>
      <c r="D4969" s="60" t="n"/>
    </row>
    <row r="4970">
      <c r="C4970" s="60" t="n"/>
      <c r="D4970" s="60" t="n"/>
    </row>
    <row r="4971">
      <c r="C4971" s="60" t="n"/>
      <c r="D4971" s="60" t="n"/>
    </row>
    <row r="4972">
      <c r="C4972" s="60" t="n"/>
      <c r="D4972" s="60" t="n"/>
    </row>
    <row r="4973">
      <c r="C4973" s="60" t="n"/>
      <c r="D4973" s="60" t="n"/>
    </row>
    <row r="4974">
      <c r="C4974" s="60" t="n"/>
      <c r="D4974" s="60" t="n"/>
    </row>
    <row r="4975">
      <c r="C4975" s="60" t="n"/>
      <c r="D4975" s="60" t="n"/>
    </row>
    <row r="4976">
      <c r="C4976" s="60" t="n"/>
      <c r="D4976" s="60" t="n"/>
    </row>
    <row r="4977">
      <c r="C4977" s="60" t="n"/>
      <c r="D4977" s="60" t="n"/>
    </row>
    <row r="4978">
      <c r="C4978" s="60" t="n"/>
      <c r="D4978" s="60" t="n"/>
    </row>
    <row r="4979">
      <c r="C4979" s="60" t="n"/>
      <c r="D4979" s="60" t="n"/>
    </row>
    <row r="4980">
      <c r="C4980" s="60" t="n"/>
      <c r="D4980" s="60" t="n"/>
    </row>
    <row r="4981">
      <c r="C4981" s="60" t="n"/>
      <c r="D4981" s="60" t="n"/>
    </row>
    <row r="4982">
      <c r="C4982" s="60" t="n"/>
      <c r="D4982" s="60" t="n"/>
    </row>
    <row r="4983">
      <c r="C4983" s="60" t="n"/>
      <c r="D4983" s="60" t="n"/>
    </row>
    <row r="4984">
      <c r="C4984" s="60" t="n"/>
      <c r="D4984" s="60" t="n"/>
    </row>
    <row r="4985">
      <c r="C4985" s="60" t="n"/>
      <c r="D4985" s="60" t="n"/>
    </row>
    <row r="4986">
      <c r="C4986" s="60" t="n"/>
      <c r="D4986" s="60" t="n"/>
    </row>
    <row r="4987">
      <c r="C4987" s="60" t="n"/>
      <c r="D4987" s="60" t="n"/>
    </row>
    <row r="4988">
      <c r="C4988" s="60" t="n"/>
      <c r="D4988" s="60" t="n"/>
    </row>
    <row r="4989">
      <c r="C4989" s="60" t="n"/>
      <c r="D4989" s="60" t="n"/>
    </row>
    <row r="4990">
      <c r="C4990" s="60" t="n"/>
      <c r="D4990" s="60" t="n"/>
    </row>
    <row r="4991">
      <c r="C4991" s="60" t="n"/>
      <c r="D4991" s="60" t="n"/>
    </row>
    <row r="4992">
      <c r="C4992" s="60" t="n"/>
      <c r="D4992" s="60" t="n"/>
    </row>
    <row r="4993">
      <c r="C4993" s="60" t="n"/>
      <c r="D4993" s="60" t="n"/>
    </row>
    <row r="4994">
      <c r="C4994" s="60" t="n"/>
      <c r="D4994" s="60" t="n"/>
    </row>
    <row r="4995">
      <c r="C4995" s="60" t="n"/>
      <c r="D4995" s="60" t="n"/>
    </row>
    <row r="4996">
      <c r="C4996" s="60" t="n"/>
      <c r="D4996" s="60" t="n"/>
    </row>
    <row r="4997">
      <c r="C4997" s="60" t="n"/>
      <c r="D4997" s="60" t="n"/>
    </row>
    <row r="4998">
      <c r="C4998" s="60" t="n"/>
      <c r="D4998" s="60" t="n"/>
    </row>
    <row r="4999">
      <c r="C4999" s="60" t="n"/>
      <c r="D4999" s="60" t="n"/>
    </row>
    <row r="5000">
      <c r="C5000" s="60" t="n"/>
      <c r="D5000" s="60" t="n"/>
    </row>
    <row r="5001">
      <c r="C5001" s="60" t="n"/>
      <c r="D5001" s="60" t="n"/>
    </row>
    <row r="5002">
      <c r="C5002" s="60" t="n"/>
      <c r="D5002" s="60" t="n"/>
    </row>
    <row r="5003">
      <c r="C5003" s="60" t="n"/>
      <c r="D5003" s="60" t="n"/>
    </row>
    <row r="5004">
      <c r="C5004" s="60" t="n"/>
      <c r="D5004" s="60" t="n"/>
    </row>
    <row r="5005">
      <c r="C5005" s="60" t="n"/>
      <c r="D5005" s="60" t="n"/>
    </row>
    <row r="5006">
      <c r="C5006" s="60" t="n"/>
      <c r="D5006" s="60" t="n"/>
    </row>
    <row r="5007">
      <c r="C5007" s="60" t="n"/>
      <c r="D5007" s="60" t="n"/>
    </row>
    <row r="5008">
      <c r="C5008" s="60" t="n"/>
      <c r="D5008" s="60" t="n"/>
    </row>
    <row r="5009">
      <c r="C5009" s="60" t="n"/>
      <c r="D5009" s="60" t="n"/>
    </row>
    <row r="5010">
      <c r="C5010" s="60" t="n"/>
      <c r="D5010" s="60" t="n"/>
    </row>
    <row r="5011">
      <c r="C5011" s="60" t="n"/>
      <c r="D5011" s="60" t="n"/>
    </row>
    <row r="5012">
      <c r="C5012" s="60" t="n"/>
      <c r="D5012" s="60" t="n"/>
    </row>
    <row r="5013">
      <c r="C5013" s="60" t="n"/>
      <c r="D5013" s="60" t="n"/>
    </row>
    <row r="5014">
      <c r="C5014" s="60" t="n"/>
      <c r="D5014" s="60" t="n"/>
    </row>
    <row r="5015">
      <c r="C5015" s="60" t="n"/>
      <c r="D5015" s="60" t="n"/>
    </row>
    <row r="5016">
      <c r="C5016" s="60" t="n"/>
      <c r="D5016" s="60" t="n"/>
    </row>
    <row r="5017">
      <c r="C5017" s="60" t="n"/>
      <c r="D5017" s="60" t="n"/>
    </row>
    <row r="5018">
      <c r="C5018" s="60" t="n"/>
      <c r="D5018" s="60" t="n"/>
    </row>
    <row r="5019">
      <c r="C5019" s="60" t="n"/>
      <c r="D5019" s="60" t="n"/>
    </row>
    <row r="5020">
      <c r="C5020" s="60" t="n"/>
      <c r="D5020" s="60" t="n"/>
    </row>
    <row r="5021">
      <c r="C5021" s="60" t="n"/>
      <c r="D5021" s="60" t="n"/>
    </row>
    <row r="5022">
      <c r="C5022" s="60" t="n"/>
      <c r="D5022" s="60" t="n"/>
    </row>
    <row r="5023">
      <c r="C5023" s="60" t="n"/>
      <c r="D5023" s="60" t="n"/>
    </row>
    <row r="5024">
      <c r="C5024" s="60" t="n"/>
      <c r="D5024" s="60" t="n"/>
    </row>
    <row r="5025">
      <c r="C5025" s="60" t="n"/>
      <c r="D5025" s="60" t="n"/>
    </row>
    <row r="5026">
      <c r="C5026" s="60" t="n"/>
      <c r="D5026" s="60" t="n"/>
    </row>
    <row r="5027">
      <c r="C5027" s="60" t="n"/>
      <c r="D5027" s="60" t="n"/>
    </row>
    <row r="5028">
      <c r="C5028" s="60" t="n"/>
      <c r="D5028" s="60" t="n"/>
    </row>
    <row r="5029">
      <c r="C5029" s="60" t="n"/>
      <c r="D5029" s="60" t="n"/>
    </row>
    <row r="5030">
      <c r="C5030" s="60" t="n"/>
      <c r="D5030" s="60" t="n"/>
    </row>
    <row r="5031">
      <c r="C5031" s="60" t="n"/>
      <c r="D5031" s="60" t="n"/>
    </row>
    <row r="5032">
      <c r="C5032" s="60" t="n"/>
      <c r="D5032" s="60" t="n"/>
    </row>
    <row r="5033">
      <c r="C5033" s="60" t="n"/>
      <c r="D5033" s="60" t="n"/>
    </row>
    <row r="5034">
      <c r="C5034" s="60" t="n"/>
      <c r="D5034" s="60" t="n"/>
    </row>
    <row r="5035">
      <c r="C5035" s="60" t="n"/>
      <c r="D5035" s="60" t="n"/>
    </row>
    <row r="5036">
      <c r="C5036" s="60" t="n"/>
      <c r="D5036" s="60" t="n"/>
    </row>
    <row r="5037">
      <c r="C5037" s="60" t="n"/>
      <c r="D5037" s="60" t="n"/>
    </row>
    <row r="5038">
      <c r="C5038" s="60" t="n"/>
      <c r="D5038" s="60" t="n"/>
    </row>
    <row r="5039">
      <c r="C5039" s="60" t="n"/>
      <c r="D5039" s="60" t="n"/>
    </row>
    <row r="5040">
      <c r="C5040" s="60" t="n"/>
      <c r="D5040" s="60" t="n"/>
    </row>
    <row r="5041">
      <c r="C5041" s="60" t="n"/>
      <c r="D5041" s="60" t="n"/>
    </row>
    <row r="5042">
      <c r="C5042" s="60" t="n"/>
      <c r="D5042" s="60" t="n"/>
    </row>
    <row r="5043">
      <c r="C5043" s="60" t="n"/>
      <c r="D5043" s="60" t="n"/>
    </row>
    <row r="5044">
      <c r="C5044" s="60" t="n"/>
      <c r="D5044" s="60" t="n"/>
    </row>
    <row r="5045">
      <c r="C5045" s="60" t="n"/>
      <c r="D5045" s="60" t="n"/>
    </row>
    <row r="5046">
      <c r="C5046" s="60" t="n"/>
      <c r="D5046" s="60" t="n"/>
    </row>
    <row r="5047">
      <c r="C5047" s="60" t="n"/>
      <c r="D5047" s="60" t="n"/>
    </row>
    <row r="5048">
      <c r="C5048" s="60" t="n"/>
      <c r="D5048" s="60" t="n"/>
    </row>
    <row r="5049">
      <c r="C5049" s="60" t="n"/>
      <c r="D5049" s="60" t="n"/>
    </row>
    <row r="5050">
      <c r="C5050" s="60" t="n"/>
      <c r="D5050" s="60" t="n"/>
    </row>
    <row r="5051">
      <c r="C5051" s="60" t="n"/>
      <c r="D5051" s="60" t="n"/>
    </row>
    <row r="5052">
      <c r="C5052" s="60" t="n"/>
      <c r="D5052" s="60" t="n"/>
    </row>
    <row r="5053">
      <c r="C5053" s="60" t="n"/>
      <c r="D5053" s="60" t="n"/>
    </row>
    <row r="5054">
      <c r="C5054" s="60" t="n"/>
      <c r="D5054" s="60" t="n"/>
    </row>
    <row r="5055">
      <c r="C5055" s="60" t="n"/>
      <c r="D5055" s="60" t="n"/>
    </row>
    <row r="5056">
      <c r="C5056" s="60" t="n"/>
      <c r="D5056" s="60" t="n"/>
    </row>
    <row r="5057">
      <c r="C5057" s="60" t="n"/>
      <c r="D5057" s="60" t="n"/>
    </row>
    <row r="5058">
      <c r="C5058" s="60" t="n"/>
      <c r="D5058" s="60" t="n"/>
    </row>
    <row r="5059">
      <c r="C5059" s="60" t="n"/>
      <c r="D5059" s="60" t="n"/>
    </row>
    <row r="5060">
      <c r="C5060" s="60" t="n"/>
      <c r="D5060" s="60" t="n"/>
    </row>
    <row r="5061">
      <c r="C5061" s="60" t="n"/>
      <c r="D5061" s="60" t="n"/>
    </row>
    <row r="5062">
      <c r="C5062" s="60" t="n"/>
      <c r="D5062" s="60" t="n"/>
    </row>
    <row r="5063">
      <c r="C5063" s="60" t="n"/>
      <c r="D5063" s="60" t="n"/>
    </row>
    <row r="5064">
      <c r="C5064" s="60" t="n"/>
      <c r="D5064" s="60" t="n"/>
    </row>
    <row r="5065">
      <c r="C5065" s="60" t="n"/>
      <c r="D5065" s="60" t="n"/>
    </row>
    <row r="5066">
      <c r="C5066" s="60" t="n"/>
      <c r="D5066" s="60" t="n"/>
    </row>
    <row r="5067">
      <c r="C5067" s="60" t="n"/>
      <c r="D5067" s="60" t="n"/>
    </row>
    <row r="5068">
      <c r="C5068" s="60" t="n"/>
      <c r="D5068" s="60" t="n"/>
    </row>
    <row r="5069">
      <c r="C5069" s="60" t="n"/>
      <c r="D5069" s="60" t="n"/>
    </row>
    <row r="5070">
      <c r="C5070" s="60" t="n"/>
      <c r="D5070" s="60" t="n"/>
    </row>
    <row r="5071">
      <c r="C5071" s="60" t="n"/>
      <c r="D5071" s="60" t="n"/>
    </row>
    <row r="5072">
      <c r="C5072" s="60" t="n"/>
      <c r="D5072" s="60" t="n"/>
    </row>
    <row r="5073">
      <c r="C5073" s="60" t="n"/>
      <c r="D5073" s="60" t="n"/>
    </row>
    <row r="5074">
      <c r="C5074" s="60" t="n"/>
      <c r="D5074" s="60" t="n"/>
    </row>
    <row r="5075">
      <c r="C5075" s="60" t="n"/>
      <c r="D5075" s="60" t="n"/>
    </row>
    <row r="5076">
      <c r="C5076" s="60" t="n"/>
      <c r="D5076" s="60" t="n"/>
    </row>
    <row r="5077">
      <c r="C5077" s="60" t="n"/>
      <c r="D5077" s="60" t="n"/>
    </row>
    <row r="5078">
      <c r="C5078" s="60" t="n"/>
      <c r="D5078" s="60" t="n"/>
    </row>
    <row r="5079">
      <c r="C5079" s="60" t="n"/>
      <c r="D5079" s="60" t="n"/>
    </row>
    <row r="5080">
      <c r="C5080" s="60" t="n"/>
      <c r="D5080" s="60" t="n"/>
    </row>
    <row r="5081">
      <c r="C5081" s="60" t="n"/>
      <c r="D5081" s="60" t="n"/>
    </row>
    <row r="5082">
      <c r="C5082" s="60" t="n"/>
      <c r="D5082" s="60" t="n"/>
    </row>
    <row r="5083">
      <c r="C5083" s="60" t="n"/>
      <c r="D5083" s="60" t="n"/>
    </row>
    <row r="5084">
      <c r="C5084" s="60" t="n"/>
      <c r="D5084" s="60" t="n"/>
    </row>
    <row r="5085">
      <c r="C5085" s="60" t="n"/>
      <c r="D5085" s="60" t="n"/>
    </row>
    <row r="5086">
      <c r="C5086" s="60" t="n"/>
      <c r="D5086" s="60" t="n"/>
    </row>
    <row r="5087">
      <c r="C5087" s="60" t="n"/>
      <c r="D5087" s="60" t="n"/>
    </row>
    <row r="5088">
      <c r="C5088" s="60" t="n"/>
      <c r="D5088" s="60" t="n"/>
    </row>
    <row r="5089">
      <c r="C5089" s="60" t="n"/>
      <c r="D5089" s="60" t="n"/>
    </row>
    <row r="5090">
      <c r="C5090" s="60" t="n"/>
      <c r="D5090" s="60" t="n"/>
    </row>
    <row r="5091">
      <c r="C5091" s="60" t="n"/>
      <c r="D5091" s="60" t="n"/>
    </row>
    <row r="5092">
      <c r="C5092" s="60" t="n"/>
      <c r="D5092" s="60" t="n"/>
    </row>
    <row r="5093">
      <c r="C5093" s="60" t="n"/>
      <c r="D5093" s="60" t="n"/>
    </row>
    <row r="5094">
      <c r="C5094" s="60" t="n"/>
      <c r="D5094" s="60" t="n"/>
    </row>
    <row r="5095">
      <c r="C5095" s="60" t="n"/>
      <c r="D5095" s="60" t="n"/>
    </row>
    <row r="5096">
      <c r="C5096" s="60" t="n"/>
      <c r="D5096" s="60" t="n"/>
    </row>
    <row r="5097">
      <c r="C5097" s="60" t="n"/>
      <c r="D5097" s="60" t="n"/>
    </row>
    <row r="5098">
      <c r="C5098" s="60" t="n"/>
      <c r="D5098" s="60" t="n"/>
    </row>
    <row r="5099">
      <c r="C5099" s="60" t="n"/>
      <c r="D5099" s="60" t="n"/>
    </row>
    <row r="5100">
      <c r="C5100" s="60" t="n"/>
      <c r="D5100" s="60" t="n"/>
    </row>
    <row r="5101">
      <c r="C5101" s="60" t="n"/>
      <c r="D5101" s="60" t="n"/>
    </row>
    <row r="5102">
      <c r="C5102" s="60" t="n"/>
      <c r="D5102" s="60" t="n"/>
    </row>
    <row r="5103">
      <c r="C5103" s="60" t="n"/>
      <c r="D5103" s="60" t="n"/>
    </row>
    <row r="5104">
      <c r="C5104" s="60" t="n"/>
      <c r="D5104" s="60" t="n"/>
    </row>
    <row r="5105">
      <c r="C5105" s="60" t="n"/>
      <c r="D5105" s="60" t="n"/>
    </row>
    <row r="5106">
      <c r="C5106" s="60" t="n"/>
      <c r="D5106" s="60" t="n"/>
    </row>
    <row r="5107">
      <c r="C5107" s="60" t="n"/>
      <c r="D5107" s="60" t="n"/>
    </row>
    <row r="5108">
      <c r="C5108" s="60" t="n"/>
      <c r="D5108" s="60" t="n"/>
    </row>
    <row r="5109">
      <c r="C5109" s="60" t="n"/>
      <c r="D5109" s="60" t="n"/>
    </row>
    <row r="5110">
      <c r="C5110" s="60" t="n"/>
      <c r="D5110" s="60" t="n"/>
    </row>
    <row r="5111">
      <c r="C5111" s="60" t="n"/>
      <c r="D5111" s="60" t="n"/>
    </row>
    <row r="5112">
      <c r="C5112" s="60" t="n"/>
      <c r="D5112" s="60" t="n"/>
    </row>
    <row r="5113">
      <c r="C5113" s="60" t="n"/>
      <c r="D5113" s="60" t="n"/>
    </row>
    <row r="5114">
      <c r="C5114" s="60" t="n"/>
      <c r="D5114" s="60" t="n"/>
    </row>
    <row r="5115">
      <c r="C5115" s="60" t="n"/>
      <c r="D5115" s="60" t="n"/>
    </row>
    <row r="5116">
      <c r="C5116" s="60" t="n"/>
      <c r="D5116" s="60" t="n"/>
    </row>
    <row r="5117">
      <c r="C5117" s="60" t="n"/>
      <c r="D5117" s="60" t="n"/>
    </row>
    <row r="5118">
      <c r="C5118" s="60" t="n"/>
      <c r="D5118" s="60" t="n"/>
    </row>
    <row r="5119">
      <c r="C5119" s="60" t="n"/>
      <c r="D5119" s="60" t="n"/>
    </row>
    <row r="5120">
      <c r="C5120" s="60" t="n"/>
      <c r="D5120" s="60" t="n"/>
    </row>
    <row r="5121">
      <c r="C5121" s="60" t="n"/>
      <c r="D5121" s="60" t="n"/>
    </row>
    <row r="5122">
      <c r="C5122" s="60" t="n"/>
      <c r="D5122" s="60" t="n"/>
    </row>
    <row r="5123">
      <c r="C5123" s="60" t="n"/>
      <c r="D5123" s="60" t="n"/>
    </row>
    <row r="5124">
      <c r="C5124" s="60" t="n"/>
      <c r="D5124" s="60" t="n"/>
    </row>
    <row r="5125">
      <c r="C5125" s="60" t="n"/>
      <c r="D5125" s="60" t="n"/>
    </row>
    <row r="5126">
      <c r="C5126" s="60" t="n"/>
      <c r="D5126" s="60" t="n"/>
    </row>
    <row r="5127">
      <c r="C5127" s="60" t="n"/>
      <c r="D5127" s="60" t="n"/>
    </row>
    <row r="5128">
      <c r="C5128" s="60" t="n"/>
      <c r="D5128" s="60" t="n"/>
    </row>
    <row r="5129">
      <c r="C5129" s="60" t="n"/>
      <c r="D5129" s="60" t="n"/>
    </row>
    <row r="5130">
      <c r="C5130" s="60" t="n"/>
      <c r="D5130" s="60" t="n"/>
    </row>
    <row r="5131">
      <c r="C5131" s="60" t="n"/>
      <c r="D5131" s="60" t="n"/>
    </row>
    <row r="5132">
      <c r="C5132" s="60" t="n"/>
      <c r="D5132" s="60" t="n"/>
    </row>
    <row r="5133">
      <c r="C5133" s="60" t="n"/>
      <c r="D5133" s="60" t="n"/>
    </row>
    <row r="5134">
      <c r="C5134" s="60" t="n"/>
      <c r="D5134" s="60" t="n"/>
    </row>
    <row r="5135">
      <c r="C5135" s="60" t="n"/>
      <c r="D5135" s="60" t="n"/>
    </row>
    <row r="5136">
      <c r="C5136" s="60" t="n"/>
      <c r="D5136" s="60" t="n"/>
    </row>
    <row r="5137">
      <c r="C5137" s="60" t="n"/>
      <c r="D5137" s="60" t="n"/>
    </row>
    <row r="5138">
      <c r="C5138" s="60" t="n"/>
      <c r="D5138" s="60" t="n"/>
    </row>
    <row r="5139">
      <c r="C5139" s="60" t="n"/>
      <c r="D5139" s="60" t="n"/>
    </row>
    <row r="5140">
      <c r="C5140" s="60" t="n"/>
      <c r="D5140" s="60" t="n"/>
    </row>
    <row r="5141">
      <c r="C5141" s="60" t="n"/>
      <c r="D5141" s="60" t="n"/>
    </row>
    <row r="5142">
      <c r="C5142" s="60" t="n"/>
      <c r="D5142" s="60" t="n"/>
    </row>
    <row r="5143">
      <c r="C5143" s="60" t="n"/>
      <c r="D5143" s="60" t="n"/>
    </row>
    <row r="5144">
      <c r="C5144" s="60" t="n"/>
      <c r="D5144" s="60" t="n"/>
    </row>
    <row r="5145">
      <c r="C5145" s="60" t="n"/>
      <c r="D5145" s="60" t="n"/>
    </row>
    <row r="5146">
      <c r="C5146" s="60" t="n"/>
      <c r="D5146" s="60" t="n"/>
    </row>
    <row r="5147">
      <c r="C5147" s="60" t="n"/>
      <c r="D5147" s="60" t="n"/>
    </row>
    <row r="5148">
      <c r="C5148" s="60" t="n"/>
      <c r="D5148" s="60" t="n"/>
    </row>
    <row r="5149">
      <c r="C5149" s="60" t="n"/>
      <c r="D5149" s="60" t="n"/>
    </row>
    <row r="5150">
      <c r="C5150" s="60" t="n"/>
      <c r="D5150" s="60" t="n"/>
    </row>
    <row r="5151">
      <c r="C5151" s="60" t="n"/>
      <c r="D5151" s="60" t="n"/>
    </row>
    <row r="5152">
      <c r="C5152" s="60" t="n"/>
      <c r="D5152" s="60" t="n"/>
    </row>
    <row r="5153">
      <c r="C5153" s="60" t="n"/>
      <c r="D5153" s="60" t="n"/>
    </row>
    <row r="5154">
      <c r="C5154" s="60" t="n"/>
      <c r="D5154" s="60" t="n"/>
    </row>
    <row r="5155">
      <c r="C5155" s="60" t="n"/>
      <c r="D5155" s="60" t="n"/>
    </row>
    <row r="5156">
      <c r="C5156" s="60" t="n"/>
      <c r="D5156" s="60" t="n"/>
    </row>
    <row r="5157">
      <c r="C5157" s="60" t="n"/>
      <c r="D5157" s="60" t="n"/>
    </row>
    <row r="5158">
      <c r="C5158" s="60" t="n"/>
      <c r="D5158" s="60" t="n"/>
    </row>
    <row r="5159">
      <c r="C5159" s="60" t="n"/>
      <c r="D5159" s="60" t="n"/>
    </row>
    <row r="5160">
      <c r="C5160" s="60" t="n"/>
      <c r="D5160" s="60" t="n"/>
    </row>
    <row r="5161">
      <c r="C5161" s="60" t="n"/>
      <c r="D5161" s="60" t="n"/>
    </row>
    <row r="5162">
      <c r="C5162" s="60" t="n"/>
      <c r="D5162" s="60" t="n"/>
    </row>
    <row r="5163">
      <c r="C5163" s="60" t="n"/>
      <c r="D5163" s="60" t="n"/>
    </row>
    <row r="5164">
      <c r="C5164" s="60" t="n"/>
      <c r="D5164" s="60" t="n"/>
    </row>
    <row r="5165">
      <c r="C5165" s="60" t="n"/>
      <c r="D5165" s="60" t="n"/>
    </row>
    <row r="5166">
      <c r="C5166" s="60" t="n"/>
      <c r="D5166" s="60" t="n"/>
    </row>
    <row r="5167">
      <c r="C5167" s="60" t="n"/>
      <c r="D5167" s="60" t="n"/>
    </row>
    <row r="5168">
      <c r="C5168" s="60" t="n"/>
      <c r="D5168" s="60" t="n"/>
    </row>
    <row r="5169">
      <c r="C5169" s="60" t="n"/>
      <c r="D5169" s="60" t="n"/>
    </row>
    <row r="5170">
      <c r="C5170" s="60" t="n"/>
      <c r="D5170" s="60" t="n"/>
    </row>
    <row r="5171">
      <c r="C5171" s="60" t="n"/>
      <c r="D5171" s="60" t="n"/>
    </row>
    <row r="5172">
      <c r="C5172" s="60" t="n"/>
      <c r="D5172" s="60" t="n"/>
    </row>
    <row r="5173">
      <c r="C5173" s="60" t="n"/>
      <c r="D5173" s="60" t="n"/>
    </row>
    <row r="5174">
      <c r="C5174" s="60" t="n"/>
      <c r="D5174" s="60" t="n"/>
    </row>
    <row r="5175">
      <c r="C5175" s="60" t="n"/>
      <c r="D5175" s="60" t="n"/>
    </row>
    <row r="5176">
      <c r="C5176" s="60" t="n"/>
      <c r="D5176" s="60" t="n"/>
    </row>
    <row r="5177">
      <c r="C5177" s="60" t="n"/>
      <c r="D5177" s="60" t="n"/>
    </row>
    <row r="5178">
      <c r="C5178" s="60" t="n"/>
      <c r="D5178" s="60" t="n"/>
    </row>
    <row r="5179">
      <c r="C5179" s="60" t="n"/>
      <c r="D5179" s="60" t="n"/>
    </row>
    <row r="5180">
      <c r="C5180" s="60" t="n"/>
      <c r="D5180" s="60" t="n"/>
    </row>
    <row r="5181">
      <c r="C5181" s="60" t="n"/>
      <c r="D5181" s="60" t="n"/>
    </row>
    <row r="5182">
      <c r="C5182" s="60" t="n"/>
      <c r="D5182" s="60" t="n"/>
    </row>
    <row r="5183">
      <c r="C5183" s="60" t="n"/>
      <c r="D5183" s="60" t="n"/>
    </row>
    <row r="5184">
      <c r="C5184" s="60" t="n"/>
      <c r="D5184" s="60" t="n"/>
    </row>
    <row r="5185">
      <c r="C5185" s="60" t="n"/>
      <c r="D5185" s="60" t="n"/>
    </row>
    <row r="5186">
      <c r="C5186" s="60" t="n"/>
      <c r="D5186" s="60" t="n"/>
    </row>
    <row r="5187">
      <c r="C5187" s="60" t="n"/>
      <c r="D5187" s="60" t="n"/>
    </row>
    <row r="5188">
      <c r="C5188" s="60" t="n"/>
      <c r="D5188" s="60" t="n"/>
    </row>
    <row r="5189">
      <c r="C5189" s="60" t="n"/>
      <c r="D5189" s="60" t="n"/>
    </row>
    <row r="5190">
      <c r="C5190" s="60" t="n"/>
      <c r="D5190" s="60" t="n"/>
    </row>
    <row r="5191">
      <c r="C5191" s="60" t="n"/>
      <c r="D5191" s="60" t="n"/>
    </row>
    <row r="5192">
      <c r="C5192" s="60" t="n"/>
      <c r="D5192" s="60" t="n"/>
    </row>
    <row r="5193">
      <c r="C5193" s="60" t="n"/>
      <c r="D5193" s="60" t="n"/>
    </row>
    <row r="5194">
      <c r="C5194" s="60" t="n"/>
      <c r="D5194" s="60" t="n"/>
    </row>
    <row r="5195">
      <c r="C5195" s="60" t="n"/>
      <c r="D5195" s="60" t="n"/>
    </row>
    <row r="5196">
      <c r="C5196" s="60" t="n"/>
      <c r="D5196" s="60" t="n"/>
    </row>
    <row r="5197">
      <c r="C5197" s="60" t="n"/>
      <c r="D5197" s="60" t="n"/>
    </row>
    <row r="5198">
      <c r="C5198" s="60" t="n"/>
      <c r="D5198" s="60" t="n"/>
    </row>
    <row r="5199">
      <c r="C5199" s="60" t="n"/>
      <c r="D5199" s="60" t="n"/>
    </row>
    <row r="5200">
      <c r="C5200" s="60" t="n"/>
      <c r="D5200" s="60" t="n"/>
    </row>
    <row r="5201">
      <c r="C5201" s="60" t="n"/>
      <c r="D5201" s="60" t="n"/>
    </row>
    <row r="5202">
      <c r="C5202" s="60" t="n"/>
      <c r="D5202" s="60" t="n"/>
    </row>
    <row r="5203">
      <c r="C5203" s="60" t="n"/>
      <c r="D5203" s="60" t="n"/>
    </row>
    <row r="5204">
      <c r="C5204" s="60" t="n"/>
      <c r="D5204" s="60" t="n"/>
    </row>
    <row r="5205">
      <c r="C5205" s="60" t="n"/>
      <c r="D5205" s="60" t="n"/>
    </row>
    <row r="5206">
      <c r="C5206" s="60" t="n"/>
      <c r="D5206" s="60" t="n"/>
    </row>
    <row r="5207">
      <c r="C5207" s="60" t="n"/>
      <c r="D5207" s="60" t="n"/>
    </row>
    <row r="5208">
      <c r="C5208" s="60" t="n"/>
      <c r="D5208" s="60" t="n"/>
    </row>
    <row r="5209">
      <c r="C5209" s="60" t="n"/>
      <c r="D5209" s="60" t="n"/>
    </row>
    <row r="5210">
      <c r="C5210" s="60" t="n"/>
      <c r="D5210" s="60" t="n"/>
    </row>
    <row r="5211">
      <c r="C5211" s="60" t="n"/>
      <c r="D5211" s="60" t="n"/>
    </row>
    <row r="5212">
      <c r="C5212" s="60" t="n"/>
      <c r="D5212" s="60" t="n"/>
    </row>
    <row r="5213">
      <c r="C5213" s="60" t="n"/>
      <c r="D5213" s="60" t="n"/>
    </row>
    <row r="5214">
      <c r="C5214" s="60" t="n"/>
      <c r="D5214" s="60" t="n"/>
    </row>
    <row r="5215">
      <c r="C5215" s="60" t="n"/>
      <c r="D5215" s="60" t="n"/>
    </row>
    <row r="5216">
      <c r="C5216" s="60" t="n"/>
      <c r="D5216" s="60" t="n"/>
    </row>
    <row r="5217">
      <c r="C5217" s="60" t="n"/>
      <c r="D5217" s="60" t="n"/>
    </row>
    <row r="5218">
      <c r="C5218" s="60" t="n"/>
      <c r="D5218" s="60" t="n"/>
    </row>
    <row r="5219">
      <c r="C5219" s="60" t="n"/>
      <c r="D5219" s="60" t="n"/>
    </row>
    <row r="5220">
      <c r="C5220" s="60" t="n"/>
      <c r="D5220" s="60" t="n"/>
    </row>
    <row r="5221">
      <c r="C5221" s="60" t="n"/>
      <c r="D5221" s="60" t="n"/>
    </row>
    <row r="5222">
      <c r="C5222" s="60" t="n"/>
      <c r="D5222" s="60" t="n"/>
    </row>
    <row r="5223">
      <c r="C5223" s="60" t="n"/>
      <c r="D5223" s="60" t="n"/>
    </row>
    <row r="5224">
      <c r="C5224" s="60" t="n"/>
      <c r="D5224" s="60" t="n"/>
    </row>
    <row r="5225">
      <c r="C5225" s="60" t="n"/>
      <c r="D5225" s="60" t="n"/>
    </row>
    <row r="5226">
      <c r="C5226" s="60" t="n"/>
      <c r="D5226" s="60" t="n"/>
    </row>
    <row r="5227">
      <c r="C5227" s="60" t="n"/>
      <c r="D5227" s="60" t="n"/>
    </row>
    <row r="5228">
      <c r="C5228" s="60" t="n"/>
      <c r="D5228" s="60" t="n"/>
    </row>
    <row r="5229">
      <c r="C5229" s="60" t="n"/>
      <c r="D5229" s="60" t="n"/>
    </row>
    <row r="5230">
      <c r="C5230" s="60" t="n"/>
      <c r="D5230" s="60" t="n"/>
    </row>
    <row r="5231">
      <c r="C5231" s="60" t="n"/>
      <c r="D5231" s="60" t="n"/>
    </row>
    <row r="5232">
      <c r="C5232" s="60" t="n"/>
      <c r="D5232" s="60" t="n"/>
    </row>
    <row r="5233">
      <c r="C5233" s="60" t="n"/>
      <c r="D5233" s="60" t="n"/>
    </row>
    <row r="5234">
      <c r="C5234" s="60" t="n"/>
      <c r="D5234" s="60" t="n"/>
    </row>
    <row r="5235">
      <c r="C5235" s="60" t="n"/>
      <c r="D5235" s="60" t="n"/>
    </row>
    <row r="5236">
      <c r="C5236" s="60" t="n"/>
      <c r="D5236" s="60" t="n"/>
    </row>
    <row r="5237">
      <c r="C5237" s="60" t="n"/>
      <c r="D5237" s="60" t="n"/>
    </row>
    <row r="5238">
      <c r="C5238" s="60" t="n"/>
      <c r="D5238" s="60" t="n"/>
    </row>
    <row r="5239">
      <c r="C5239" s="60" t="n"/>
      <c r="D5239" s="60" t="n"/>
    </row>
    <row r="5240">
      <c r="C5240" s="60" t="n"/>
      <c r="D5240" s="60" t="n"/>
    </row>
    <row r="5241">
      <c r="C5241" s="60" t="n"/>
      <c r="D5241" s="60" t="n"/>
    </row>
    <row r="5242">
      <c r="C5242" s="60" t="n"/>
      <c r="D5242" s="60" t="n"/>
    </row>
    <row r="5243">
      <c r="C5243" s="60" t="n"/>
      <c r="D5243" s="60" t="n"/>
    </row>
    <row r="5244">
      <c r="C5244" s="60" t="n"/>
      <c r="D5244" s="60" t="n"/>
    </row>
    <row r="5245">
      <c r="C5245" s="60" t="n"/>
      <c r="D5245" s="60" t="n"/>
    </row>
    <row r="5246">
      <c r="C5246" s="60" t="n"/>
      <c r="D5246" s="60" t="n"/>
    </row>
    <row r="5247">
      <c r="C5247" s="60" t="n"/>
      <c r="D5247" s="60" t="n"/>
    </row>
    <row r="5248">
      <c r="C5248" s="60" t="n"/>
      <c r="D5248" s="60" t="n"/>
    </row>
    <row r="5249">
      <c r="C5249" s="60" t="n"/>
      <c r="D5249" s="60" t="n"/>
    </row>
    <row r="5250">
      <c r="C5250" s="60" t="n"/>
      <c r="D5250" s="60" t="n"/>
    </row>
    <row r="5251">
      <c r="C5251" s="60" t="n"/>
      <c r="D5251" s="60" t="n"/>
    </row>
    <row r="5252">
      <c r="C5252" s="60" t="n"/>
      <c r="D5252" s="60" t="n"/>
    </row>
    <row r="5253">
      <c r="C5253" s="60" t="n"/>
      <c r="D5253" s="60" t="n"/>
    </row>
    <row r="5254">
      <c r="C5254" s="60" t="n"/>
      <c r="D5254" s="60" t="n"/>
    </row>
    <row r="5255">
      <c r="C5255" s="60" t="n"/>
      <c r="D5255" s="60" t="n"/>
    </row>
    <row r="5256">
      <c r="C5256" s="60" t="n"/>
      <c r="D5256" s="60" t="n"/>
    </row>
    <row r="5257">
      <c r="C5257" s="60" t="n"/>
      <c r="D5257" s="60" t="n"/>
    </row>
    <row r="5258">
      <c r="C5258" s="60" t="n"/>
      <c r="D5258" s="60" t="n"/>
    </row>
    <row r="5259">
      <c r="C5259" s="60" t="n"/>
      <c r="D5259" s="60" t="n"/>
    </row>
    <row r="5260">
      <c r="C5260" s="60" t="n"/>
      <c r="D5260" s="60" t="n"/>
    </row>
    <row r="5261">
      <c r="C5261" s="60" t="n"/>
      <c r="D5261" s="60" t="n"/>
    </row>
    <row r="5262">
      <c r="C5262" s="60" t="n"/>
      <c r="D5262" s="60" t="n"/>
    </row>
    <row r="5263">
      <c r="C5263" s="60" t="n"/>
      <c r="D5263" s="60" t="n"/>
    </row>
    <row r="5264">
      <c r="C5264" s="60" t="n"/>
      <c r="D5264" s="60" t="n"/>
    </row>
    <row r="5265">
      <c r="C5265" s="60" t="n"/>
      <c r="D5265" s="60" t="n"/>
    </row>
    <row r="5266">
      <c r="C5266" s="60" t="n"/>
      <c r="D5266" s="60" t="n"/>
    </row>
    <row r="5267">
      <c r="C5267" s="60" t="n"/>
      <c r="D5267" s="60" t="n"/>
    </row>
    <row r="5268">
      <c r="C5268" s="60" t="n"/>
      <c r="D5268" s="60" t="n"/>
    </row>
    <row r="5269">
      <c r="C5269" s="60" t="n"/>
      <c r="D5269" s="60" t="n"/>
    </row>
    <row r="5270">
      <c r="C5270" s="60" t="n"/>
      <c r="D5270" s="60" t="n"/>
    </row>
    <row r="5271">
      <c r="C5271" s="60" t="n"/>
      <c r="D5271" s="60" t="n"/>
    </row>
    <row r="5272">
      <c r="C5272" s="60" t="n"/>
      <c r="D5272" s="60" t="n"/>
    </row>
    <row r="5273">
      <c r="C5273" s="60" t="n"/>
      <c r="D5273" s="60" t="n"/>
    </row>
    <row r="5274">
      <c r="C5274" s="60" t="n"/>
      <c r="D5274" s="60" t="n"/>
    </row>
    <row r="5275">
      <c r="C5275" s="60" t="n"/>
      <c r="D5275" s="60" t="n"/>
    </row>
    <row r="5276">
      <c r="C5276" s="60" t="n"/>
      <c r="D5276" s="60" t="n"/>
    </row>
    <row r="5277">
      <c r="C5277" s="60" t="n"/>
      <c r="D5277" s="60" t="n"/>
    </row>
    <row r="5278">
      <c r="C5278" s="60" t="n"/>
      <c r="D5278" s="60" t="n"/>
    </row>
    <row r="5279">
      <c r="C5279" s="60" t="n"/>
      <c r="D5279" s="60" t="n"/>
    </row>
    <row r="5280">
      <c r="C5280" s="60" t="n"/>
      <c r="D5280" s="60" t="n"/>
    </row>
    <row r="5281">
      <c r="C5281" s="60" t="n"/>
      <c r="D5281" s="60" t="n"/>
    </row>
    <row r="5282">
      <c r="C5282" s="60" t="n"/>
      <c r="D5282" s="60" t="n"/>
    </row>
    <row r="5283">
      <c r="C5283" s="60" t="n"/>
      <c r="D5283" s="60" t="n"/>
    </row>
    <row r="5284">
      <c r="C5284" s="60" t="n"/>
      <c r="D5284" s="60" t="n"/>
    </row>
    <row r="5285">
      <c r="C5285" s="60" t="n"/>
      <c r="D5285" s="60" t="n"/>
    </row>
    <row r="5286">
      <c r="C5286" s="60" t="n"/>
      <c r="D5286" s="60" t="n"/>
    </row>
    <row r="5287">
      <c r="C5287" s="60" t="n"/>
      <c r="D5287" s="60" t="n"/>
    </row>
    <row r="5288">
      <c r="C5288" s="60" t="n"/>
      <c r="D5288" s="60" t="n"/>
    </row>
    <row r="5289">
      <c r="C5289" s="60" t="n"/>
      <c r="D5289" s="60" t="n"/>
    </row>
    <row r="5290">
      <c r="C5290" s="60" t="n"/>
      <c r="D5290" s="60" t="n"/>
    </row>
    <row r="5291">
      <c r="C5291" s="60" t="n"/>
      <c r="D5291" s="60" t="n"/>
    </row>
    <row r="5292">
      <c r="C5292" s="60" t="n"/>
      <c r="D5292" s="60" t="n"/>
    </row>
    <row r="5293">
      <c r="C5293" s="60" t="n"/>
      <c r="D5293" s="60" t="n"/>
    </row>
    <row r="5294">
      <c r="C5294" s="60" t="n"/>
      <c r="D5294" s="60" t="n"/>
    </row>
    <row r="5295">
      <c r="C5295" s="60" t="n"/>
      <c r="D5295" s="60" t="n"/>
    </row>
    <row r="5296">
      <c r="C5296" s="60" t="n"/>
      <c r="D5296" s="60" t="n"/>
    </row>
    <row r="5297">
      <c r="C5297" s="60" t="n"/>
      <c r="D5297" s="60" t="n"/>
    </row>
    <row r="5298">
      <c r="C5298" s="60" t="n"/>
      <c r="D5298" s="60" t="n"/>
    </row>
    <row r="5299">
      <c r="C5299" s="60" t="n"/>
      <c r="D5299" s="60" t="n"/>
    </row>
    <row r="5300">
      <c r="C5300" s="60" t="n"/>
      <c r="D5300" s="60" t="n"/>
    </row>
    <row r="5301">
      <c r="C5301" s="60" t="n"/>
      <c r="D5301" s="60" t="n"/>
    </row>
    <row r="5302">
      <c r="C5302" s="60" t="n"/>
      <c r="D5302" s="60" t="n"/>
    </row>
    <row r="5303">
      <c r="C5303" s="60" t="n"/>
      <c r="D5303" s="60" t="n"/>
    </row>
    <row r="5304">
      <c r="C5304" s="60" t="n"/>
      <c r="D5304" s="60" t="n"/>
    </row>
    <row r="5305">
      <c r="C5305" s="60" t="n"/>
      <c r="D5305" s="60" t="n"/>
    </row>
    <row r="5306">
      <c r="C5306" s="60" t="n"/>
      <c r="D5306" s="60" t="n"/>
    </row>
    <row r="5307">
      <c r="C5307" s="60" t="n"/>
      <c r="D5307" s="60" t="n"/>
    </row>
    <row r="5308">
      <c r="C5308" s="60" t="n"/>
      <c r="D5308" s="60" t="n"/>
    </row>
    <row r="5309">
      <c r="C5309" s="60" t="n"/>
      <c r="D5309" s="60" t="n"/>
    </row>
    <row r="5310">
      <c r="C5310" s="60" t="n"/>
      <c r="D5310" s="60" t="n"/>
    </row>
    <row r="5311">
      <c r="C5311" s="60" t="n"/>
      <c r="D5311" s="60" t="n"/>
    </row>
    <row r="5312">
      <c r="C5312" s="60" t="n"/>
      <c r="D5312" s="60" t="n"/>
    </row>
    <row r="5313">
      <c r="C5313" s="60" t="n"/>
      <c r="D5313" s="60" t="n"/>
    </row>
    <row r="5314">
      <c r="C5314" s="60" t="n"/>
      <c r="D5314" s="60" t="n"/>
    </row>
    <row r="5315">
      <c r="C5315" s="60" t="n"/>
      <c r="D5315" s="60" t="n"/>
    </row>
    <row r="5316">
      <c r="C5316" s="60" t="n"/>
      <c r="D5316" s="60" t="n"/>
    </row>
    <row r="5317">
      <c r="C5317" s="60" t="n"/>
      <c r="D5317" s="60" t="n"/>
    </row>
    <row r="5318">
      <c r="C5318" s="60" t="n"/>
      <c r="D5318" s="60" t="n"/>
    </row>
    <row r="5319">
      <c r="C5319" s="60" t="n"/>
      <c r="D5319" s="60" t="n"/>
    </row>
    <row r="5320">
      <c r="C5320" s="60" t="n"/>
      <c r="D5320" s="60" t="n"/>
    </row>
    <row r="5321">
      <c r="C5321" s="60" t="n"/>
      <c r="D5321" s="60" t="n"/>
    </row>
    <row r="5322">
      <c r="C5322" s="60" t="n"/>
      <c r="D5322" s="60" t="n"/>
    </row>
    <row r="5323">
      <c r="C5323" s="60" t="n"/>
      <c r="D5323" s="60" t="n"/>
    </row>
    <row r="5324">
      <c r="C5324" s="60" t="n"/>
      <c r="D5324" s="60" t="n"/>
    </row>
    <row r="5325">
      <c r="C5325" s="60" t="n"/>
      <c r="D5325" s="60" t="n"/>
    </row>
    <row r="5326">
      <c r="C5326" s="60" t="n"/>
      <c r="D5326" s="60" t="n"/>
    </row>
    <row r="5327">
      <c r="C5327" s="60" t="n"/>
      <c r="D5327" s="60" t="n"/>
    </row>
    <row r="5328">
      <c r="C5328" s="60" t="n"/>
      <c r="D5328" s="60" t="n"/>
    </row>
    <row r="5329">
      <c r="C5329" s="60" t="n"/>
      <c r="D5329" s="60" t="n"/>
    </row>
    <row r="5330">
      <c r="C5330" s="60" t="n"/>
      <c r="D5330" s="60" t="n"/>
    </row>
    <row r="5331">
      <c r="C5331" s="60" t="n"/>
      <c r="D5331" s="60" t="n"/>
    </row>
    <row r="5332">
      <c r="C5332" s="60" t="n"/>
      <c r="D5332" s="60" t="n"/>
    </row>
    <row r="5333">
      <c r="C5333" s="60" t="n"/>
      <c r="D5333" s="60" t="n"/>
    </row>
    <row r="5334">
      <c r="C5334" s="60" t="n"/>
      <c r="D5334" s="60" t="n"/>
    </row>
    <row r="5335">
      <c r="C5335" s="60" t="n"/>
      <c r="D5335" s="60" t="n"/>
    </row>
    <row r="5336">
      <c r="C5336" s="60" t="n"/>
      <c r="D5336" s="60" t="n"/>
    </row>
    <row r="5337">
      <c r="C5337" s="60" t="n"/>
      <c r="D5337" s="60" t="n"/>
    </row>
    <row r="5338">
      <c r="C5338" s="60" t="n"/>
      <c r="D5338" s="60" t="n"/>
    </row>
    <row r="5339">
      <c r="C5339" s="60" t="n"/>
      <c r="D5339" s="60" t="n"/>
    </row>
    <row r="5340">
      <c r="C5340" s="60" t="n"/>
      <c r="D5340" s="60" t="n"/>
    </row>
    <row r="5341">
      <c r="C5341" s="60" t="n"/>
      <c r="D5341" s="60" t="n"/>
    </row>
    <row r="5342">
      <c r="C5342" s="60" t="n"/>
      <c r="D5342" s="60" t="n"/>
    </row>
    <row r="5343">
      <c r="C5343" s="60" t="n"/>
      <c r="D5343" s="60" t="n"/>
    </row>
    <row r="5344">
      <c r="C5344" s="60" t="n"/>
      <c r="D5344" s="60" t="n"/>
    </row>
    <row r="5345">
      <c r="C5345" s="60" t="n"/>
      <c r="D5345" s="60" t="n"/>
    </row>
    <row r="5346">
      <c r="C5346" s="60" t="n"/>
      <c r="D5346" s="60" t="n"/>
    </row>
    <row r="5347">
      <c r="C5347" s="60" t="n"/>
      <c r="D5347" s="60" t="n"/>
    </row>
    <row r="5348">
      <c r="C5348" s="60" t="n"/>
      <c r="D5348" s="60" t="n"/>
    </row>
    <row r="5349">
      <c r="C5349" s="60" t="n"/>
      <c r="D5349" s="60" t="n"/>
    </row>
    <row r="5350">
      <c r="C5350" s="60" t="n"/>
      <c r="D5350" s="60" t="n"/>
    </row>
    <row r="5351">
      <c r="C5351" s="60" t="n"/>
      <c r="D5351" s="60" t="n"/>
    </row>
    <row r="5352">
      <c r="C5352" s="60" t="n"/>
      <c r="D5352" s="60" t="n"/>
    </row>
    <row r="5353">
      <c r="C5353" s="60" t="n"/>
      <c r="D5353" s="60" t="n"/>
    </row>
    <row r="5354">
      <c r="C5354" s="60" t="n"/>
      <c r="D5354" s="60" t="n"/>
    </row>
    <row r="5355">
      <c r="C5355" s="60" t="n"/>
      <c r="D5355" s="60" t="n"/>
    </row>
    <row r="5356">
      <c r="C5356" s="60" t="n"/>
      <c r="D5356" s="60" t="n"/>
    </row>
    <row r="5357">
      <c r="C5357" s="60" t="n"/>
      <c r="D5357" s="60" t="n"/>
    </row>
    <row r="5358">
      <c r="C5358" s="60" t="n"/>
      <c r="D5358" s="60" t="n"/>
    </row>
    <row r="5359">
      <c r="C5359" s="60" t="n"/>
      <c r="D5359" s="60" t="n"/>
    </row>
    <row r="5360">
      <c r="C5360" s="60" t="n"/>
      <c r="D5360" s="60" t="n"/>
    </row>
    <row r="5361">
      <c r="C5361" s="60" t="n"/>
      <c r="D5361" s="60" t="n"/>
    </row>
    <row r="5362">
      <c r="C5362" s="60" t="n"/>
      <c r="D5362" s="60" t="n"/>
    </row>
    <row r="5363">
      <c r="C5363" s="60" t="n"/>
      <c r="D5363" s="60" t="n"/>
    </row>
    <row r="5364">
      <c r="C5364" s="60" t="n"/>
      <c r="D5364" s="60" t="n"/>
    </row>
    <row r="5365">
      <c r="C5365" s="60" t="n"/>
      <c r="D5365" s="60" t="n"/>
    </row>
    <row r="5366">
      <c r="C5366" s="60" t="n"/>
      <c r="D5366" s="60" t="n"/>
    </row>
    <row r="5367">
      <c r="C5367" s="60" t="n"/>
      <c r="D5367" s="60" t="n"/>
    </row>
    <row r="5368">
      <c r="C5368" s="60" t="n"/>
      <c r="D5368" s="60" t="n"/>
    </row>
    <row r="5369">
      <c r="C5369" s="60" t="n"/>
      <c r="D5369" s="60" t="n"/>
    </row>
    <row r="5370">
      <c r="C5370" s="60" t="n"/>
      <c r="D5370" s="60" t="n"/>
    </row>
    <row r="5371">
      <c r="C5371" s="60" t="n"/>
      <c r="D5371" s="60" t="n"/>
    </row>
    <row r="5372">
      <c r="C5372" s="60" t="n"/>
      <c r="D5372" s="60" t="n"/>
    </row>
    <row r="5373">
      <c r="C5373" s="60" t="n"/>
      <c r="D5373" s="60" t="n"/>
    </row>
    <row r="5374">
      <c r="C5374" s="60" t="n"/>
      <c r="D5374" s="60" t="n"/>
    </row>
    <row r="5375">
      <c r="C5375" s="60" t="n"/>
      <c r="D5375" s="60" t="n"/>
    </row>
    <row r="5376">
      <c r="C5376" s="60" t="n"/>
      <c r="D5376" s="60" t="n"/>
    </row>
    <row r="5377">
      <c r="C5377" s="60" t="n"/>
      <c r="D5377" s="60" t="n"/>
    </row>
    <row r="5378">
      <c r="C5378" s="60" t="n"/>
      <c r="D5378" s="60" t="n"/>
    </row>
    <row r="5379">
      <c r="C5379" s="60" t="n"/>
      <c r="D5379" s="60" t="n"/>
    </row>
    <row r="5380">
      <c r="C5380" s="60" t="n"/>
      <c r="D5380" s="60" t="n"/>
    </row>
    <row r="5381">
      <c r="C5381" s="60" t="n"/>
      <c r="D5381" s="60" t="n"/>
    </row>
    <row r="5382">
      <c r="C5382" s="60" t="n"/>
      <c r="D5382" s="60" t="n"/>
    </row>
    <row r="5383">
      <c r="C5383" s="60" t="n"/>
      <c r="D5383" s="60" t="n"/>
    </row>
    <row r="5384">
      <c r="C5384" s="60" t="n"/>
      <c r="D5384" s="60" t="n"/>
    </row>
    <row r="5385">
      <c r="C5385" s="60" t="n"/>
      <c r="D5385" s="60" t="n"/>
    </row>
    <row r="5386">
      <c r="C5386" s="60" t="n"/>
      <c r="D5386" s="60" t="n"/>
    </row>
    <row r="5387">
      <c r="C5387" s="60" t="n"/>
      <c r="D5387" s="60" t="n"/>
    </row>
    <row r="5388">
      <c r="C5388" s="60" t="n"/>
      <c r="D5388" s="60" t="n"/>
    </row>
    <row r="5389">
      <c r="C5389" s="60" t="n"/>
      <c r="D5389" s="60" t="n"/>
    </row>
    <row r="5390">
      <c r="C5390" s="60" t="n"/>
      <c r="D5390" s="60" t="n"/>
    </row>
    <row r="5391">
      <c r="C5391" s="60" t="n"/>
      <c r="D5391" s="60" t="n"/>
    </row>
    <row r="5392">
      <c r="C5392" s="60" t="n"/>
      <c r="D5392" s="60" t="n"/>
    </row>
    <row r="5393">
      <c r="C5393" s="60" t="n"/>
      <c r="D5393" s="60" t="n"/>
    </row>
    <row r="5394">
      <c r="C5394" s="60" t="n"/>
      <c r="D5394" s="60" t="n"/>
    </row>
    <row r="5395">
      <c r="C5395" s="60" t="n"/>
      <c r="D5395" s="60" t="n"/>
    </row>
    <row r="5396">
      <c r="C5396" s="60" t="n"/>
      <c r="D5396" s="60" t="n"/>
    </row>
    <row r="5397">
      <c r="C5397" s="60" t="n"/>
      <c r="D5397" s="60" t="n"/>
    </row>
    <row r="5398">
      <c r="C5398" s="60" t="n"/>
      <c r="D5398" s="60" t="n"/>
    </row>
    <row r="5399">
      <c r="C5399" s="60" t="n"/>
      <c r="D5399" s="60" t="n"/>
    </row>
    <row r="5400">
      <c r="C5400" s="60" t="n"/>
      <c r="D5400" s="60" t="n"/>
    </row>
    <row r="5401">
      <c r="C5401" s="60" t="n"/>
      <c r="D5401" s="60" t="n"/>
    </row>
    <row r="5402">
      <c r="C5402" s="60" t="n"/>
      <c r="D5402" s="60" t="n"/>
    </row>
    <row r="5403">
      <c r="C5403" s="60" t="n"/>
      <c r="D5403" s="60" t="n"/>
    </row>
    <row r="5404">
      <c r="C5404" s="60" t="n"/>
      <c r="D5404" s="60" t="n"/>
    </row>
    <row r="5405">
      <c r="C5405" s="60" t="n"/>
      <c r="D5405" s="60" t="n"/>
    </row>
    <row r="5406">
      <c r="C5406" s="60" t="n"/>
      <c r="D5406" s="60" t="n"/>
    </row>
    <row r="5407">
      <c r="C5407" s="60" t="n"/>
      <c r="D5407" s="60" t="n"/>
    </row>
    <row r="5408">
      <c r="C5408" s="60" t="n"/>
      <c r="D5408" s="60" t="n"/>
    </row>
    <row r="5409">
      <c r="C5409" s="60" t="n"/>
      <c r="D5409" s="60" t="n"/>
    </row>
    <row r="5410">
      <c r="C5410" s="60" t="n"/>
      <c r="D5410" s="60" t="n"/>
    </row>
    <row r="5411">
      <c r="C5411" s="60" t="n"/>
      <c r="D5411" s="60" t="n"/>
    </row>
    <row r="5412">
      <c r="C5412" s="60" t="n"/>
      <c r="D5412" s="60" t="n"/>
    </row>
    <row r="5413">
      <c r="C5413" s="60" t="n"/>
      <c r="D5413" s="60" t="n"/>
    </row>
    <row r="5414">
      <c r="C5414" s="60" t="n"/>
      <c r="D5414" s="60" t="n"/>
    </row>
    <row r="5415">
      <c r="C5415" s="60" t="n"/>
      <c r="D5415" s="60" t="n"/>
    </row>
    <row r="5416">
      <c r="C5416" s="60" t="n"/>
      <c r="D5416" s="60" t="n"/>
    </row>
    <row r="5417">
      <c r="C5417" s="60" t="n"/>
      <c r="D5417" s="60" t="n"/>
    </row>
    <row r="5418">
      <c r="C5418" s="60" t="n"/>
      <c r="D5418" s="60" t="n"/>
    </row>
    <row r="5419">
      <c r="C5419" s="60" t="n"/>
      <c r="D5419" s="60" t="n"/>
    </row>
    <row r="5420">
      <c r="C5420" s="60" t="n"/>
      <c r="D5420" s="60" t="n"/>
    </row>
    <row r="5421">
      <c r="C5421" s="60" t="n"/>
      <c r="D5421" s="60" t="n"/>
    </row>
    <row r="5422">
      <c r="C5422" s="60" t="n"/>
      <c r="D5422" s="60" t="n"/>
    </row>
    <row r="5423">
      <c r="C5423" s="60" t="n"/>
      <c r="D5423" s="60" t="n"/>
    </row>
    <row r="5424">
      <c r="C5424" s="60" t="n"/>
      <c r="D5424" s="60" t="n"/>
    </row>
    <row r="5425">
      <c r="C5425" s="60" t="n"/>
      <c r="D5425" s="60" t="n"/>
    </row>
    <row r="5426">
      <c r="C5426" s="60" t="n"/>
      <c r="D5426" s="60" t="n"/>
    </row>
    <row r="5427">
      <c r="C5427" s="60" t="n"/>
      <c r="D5427" s="60" t="n"/>
    </row>
    <row r="5428">
      <c r="C5428" s="60" t="n"/>
      <c r="D5428" s="60" t="n"/>
    </row>
    <row r="5429">
      <c r="C5429" s="60" t="n"/>
      <c r="D5429" s="60" t="n"/>
    </row>
    <row r="5430">
      <c r="C5430" s="60" t="n"/>
      <c r="D5430" s="60" t="n"/>
    </row>
    <row r="5431">
      <c r="C5431" s="60" t="n"/>
      <c r="D5431" s="60" t="n"/>
    </row>
    <row r="5432">
      <c r="C5432" s="60" t="n"/>
      <c r="D5432" s="60" t="n"/>
    </row>
    <row r="5433">
      <c r="C5433" s="60" t="n"/>
      <c r="D5433" s="60" t="n"/>
    </row>
    <row r="5434">
      <c r="C5434" s="60" t="n"/>
      <c r="D5434" s="60" t="n"/>
    </row>
    <row r="5435">
      <c r="C5435" s="60" t="n"/>
      <c r="D5435" s="60" t="n"/>
    </row>
    <row r="5436">
      <c r="C5436" s="60" t="n"/>
      <c r="D5436" s="60" t="n"/>
    </row>
    <row r="5437">
      <c r="C5437" s="60" t="n"/>
      <c r="D5437" s="60" t="n"/>
    </row>
    <row r="5438">
      <c r="C5438" s="60" t="n"/>
      <c r="D5438" s="60" t="n"/>
    </row>
    <row r="5439">
      <c r="C5439" s="60" t="n"/>
      <c r="D5439" s="60" t="n"/>
    </row>
    <row r="5440">
      <c r="C5440" s="60" t="n"/>
      <c r="D5440" s="60" t="n"/>
    </row>
    <row r="5441">
      <c r="C5441" s="60" t="n"/>
      <c r="D5441" s="60" t="n"/>
    </row>
    <row r="5442">
      <c r="C5442" s="60" t="n"/>
      <c r="D5442" s="60" t="n"/>
    </row>
    <row r="5443">
      <c r="C5443" s="60" t="n"/>
      <c r="D5443" s="60" t="n"/>
    </row>
    <row r="5444">
      <c r="C5444" s="60" t="n"/>
      <c r="D5444" s="60" t="n"/>
    </row>
    <row r="5445">
      <c r="C5445" s="60" t="n"/>
      <c r="D5445" s="60" t="n"/>
    </row>
    <row r="5446">
      <c r="C5446" s="60" t="n"/>
      <c r="D5446" s="60" t="n"/>
    </row>
    <row r="5447">
      <c r="C5447" s="60" t="n"/>
      <c r="D5447" s="60" t="n"/>
    </row>
    <row r="5448">
      <c r="C5448" s="60" t="n"/>
      <c r="D5448" s="60" t="n"/>
    </row>
    <row r="5449">
      <c r="C5449" s="60" t="n"/>
      <c r="D5449" s="60" t="n"/>
    </row>
    <row r="5450">
      <c r="C5450" s="60" t="n"/>
      <c r="D5450" s="60" t="n"/>
    </row>
    <row r="5451">
      <c r="C5451" s="60" t="n"/>
      <c r="D5451" s="60" t="n"/>
    </row>
    <row r="5452">
      <c r="C5452" s="60" t="n"/>
      <c r="D5452" s="60" t="n"/>
    </row>
    <row r="5453">
      <c r="C5453" s="60" t="n"/>
      <c r="D5453" s="60" t="n"/>
    </row>
    <row r="5454">
      <c r="C5454" s="60" t="n"/>
      <c r="D5454" s="60" t="n"/>
    </row>
    <row r="5455">
      <c r="C5455" s="60" t="n"/>
      <c r="D5455" s="60" t="n"/>
    </row>
    <row r="5456">
      <c r="C5456" s="60" t="n"/>
      <c r="D5456" s="60" t="n"/>
    </row>
    <row r="5457">
      <c r="C5457" s="60" t="n"/>
      <c r="D5457" s="60" t="n"/>
    </row>
    <row r="5458">
      <c r="C5458" s="60" t="n"/>
      <c r="D5458" s="60" t="n"/>
    </row>
    <row r="5459">
      <c r="C5459" s="60" t="n"/>
      <c r="D5459" s="60" t="n"/>
    </row>
    <row r="5460">
      <c r="C5460" s="60" t="n"/>
      <c r="D5460" s="60" t="n"/>
    </row>
  </sheetData>
  <mergeCells count="2">
    <mergeCell ref="A1:P1"/>
    <mergeCell ref="A2:P2"/>
  </mergeCells>
  <conditionalFormatting sqref="B17:B22">
    <cfRule type="expression" priority="3" dxfId="10">
      <formula>MOD(ROW(),2)=0</formula>
    </cfRule>
  </conditionalFormatting>
  <conditionalFormatting sqref="C15:C22">
    <cfRule type="expression" priority="2" dxfId="10">
      <formula>MOD(ROW(),2)=0</formula>
    </cfRule>
  </conditionalFormatting>
  <conditionalFormatting sqref="D15">
    <cfRule type="expression" priority="18" dxfId="10">
      <formula>MOD(ROW(),2)=0</formula>
    </cfRule>
  </conditionalFormatting>
  <conditionalFormatting sqref="E16:E18">
    <cfRule type="expression" priority="10" dxfId="10">
      <formula>MOD(ROW(),2)=0</formula>
    </cfRule>
  </conditionalFormatting>
  <conditionalFormatting sqref="E22">
    <cfRule type="expression" priority="1" dxfId="10">
      <formula>MOD(ROW(),2)=0</formula>
    </cfRule>
  </conditionalFormatting>
  <conditionalFormatting sqref="A15:B16 A17:A22 A23:N314 D16:D18 D19:N21 D22 E15:N15 F16:N18 F22:N22">
    <cfRule type="expression" priority="20" dxfId="10">
      <formula>MOD(ROW(),2)=1</formula>
    </cfRule>
  </conditionalFormatting>
  <conditionalFormatting sqref="N15:N314">
    <cfRule type="cellIs" priority="21" operator="equal" dxfId="9">
      <formula>"New"</formula>
    </cfRule>
    <cfRule type="cellIs" priority="22" operator="equal" dxfId="8">
      <formula>"In Production"</formula>
    </cfRule>
    <cfRule type="cellIs" priority="23" operator="equal" dxfId="7">
      <formula>"Packed"</formula>
    </cfRule>
    <cfRule type="cellIs" priority="24" operator="equal" dxfId="6">
      <formula>"Shipped"</formula>
    </cfRule>
    <cfRule type="cellIs" priority="25" operator="equal" dxfId="3">
      <formula>"Delivered"</formula>
    </cfRule>
    <cfRule type="cellIs" priority="26" operator="equal" dxfId="4">
      <formula>"Cancelled"</formula>
    </cfRule>
  </conditionalFormatting>
  <conditionalFormatting sqref="O15:O314">
    <cfRule type="cellIs" priority="27" operator="equal" dxfId="3">
      <formula>"Yes"</formula>
    </cfRule>
    <cfRule type="cellIs" priority="28" operator="equal" dxfId="2">
      <formula>"No"</formula>
    </cfRule>
  </conditionalFormatting>
  <dataValidations count="4">
    <dataValidation sqref="K15:K314" showDropDown="0" showInputMessage="0" showErrorMessage="1" allowBlank="1" type="list">
      <formula1>"USPS First Class,USPS Priority,UPS Ground,FedEx,Local Pickup / Hand Delivery,Other"</formula1>
    </dataValidation>
    <dataValidation sqref="N15:N314" showDropDown="0" showInputMessage="0" showErrorMessage="1" allowBlank="1" type="list">
      <formula1>"New,In Production,Packed,Shipped,Delivered,Cancelled"</formula1>
    </dataValidation>
    <dataValidation sqref="O15:O314" showDropDown="0" showInputMessage="0" showErrorMessage="1" allowBlank="1" type="list">
      <formula1>"Yes,No"</formula1>
    </dataValidation>
    <dataValidation sqref="E15 E19:E21 E23:E314" showDropDown="0" showInputMessage="0" showErrorMessage="0" allowBlank="1" type="list">
      <formula1>ProductList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6C4FA1"/>
    <outlinePr summaryBelow="1" summaryRight="1"/>
    <pageSetUpPr/>
  </sheetPr>
  <dimension ref="A1:I26"/>
  <sheetViews>
    <sheetView workbookViewId="0">
      <pane ySplit="13" topLeftCell="A14" activePane="bottomLeft" state="frozen"/>
      <selection pane="bottomLeft" activeCell="F31" sqref="F31"/>
    </sheetView>
  </sheetViews>
  <sheetFormatPr baseColWidth="8" defaultRowHeight="14.4"/>
  <cols>
    <col width="12" customWidth="1" style="69" min="1" max="1"/>
    <col width="15" customWidth="1" style="69" min="2" max="3"/>
    <col width="13" customWidth="1" style="69" min="4" max="4"/>
    <col width="15" customWidth="1" style="69" min="5" max="5"/>
    <col width="16" customWidth="1" style="69" min="6" max="6"/>
    <col width="13" customWidth="1" style="69" min="7" max="7"/>
    <col width="15" customWidth="1" style="69" min="8" max="8"/>
    <col width="16" customWidth="1" style="69" min="9" max="9"/>
  </cols>
  <sheetData>
    <row r="1" ht="26.1" customHeight="1" s="69">
      <c r="A1" s="68" t="inlineStr">
        <is>
          <t>Monthly Cash Flow — Money In vs. Money Out, Month by Month</t>
        </is>
      </c>
    </row>
    <row r="2" ht="15.9" customHeight="1" s="69">
      <c r="A2" s="70" t="inlineStr">
        <is>
          <t>Fully automatic. Shows whether each month put you ahead (green) or behind (red), and your running cash balance.</t>
        </is>
      </c>
    </row>
    <row r="4" ht="14.1" customHeight="1" s="69">
      <c r="A4" s="12" t="inlineStr">
        <is>
          <t>WHAT THIS TAB IS FOR:  seeing your cash trend. Every number here is pulled automatically from the DATES you enter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 ht="14.1" customHeight="1" s="69">
      <c r="A5" s="13" t="inlineStr">
        <is>
          <t>on Funding, Sales Log, Capital, and Operating Costs — you never type in the table itself.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 ht="14.1" customHeight="1" s="69">
      <c r="A6" s="13" t="inlineStr">
        <is>
          <t>THE ONLY TWO THINGS YOU CAN EDIT:  (1) Starting Cash below — money you already had before Month 1;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 ht="14.1" customHeight="1" s="69">
      <c r="A7" s="13" t="inlineStr">
        <is>
          <t>(2) the Month column — if Year 1 doesn't start in January, change the first month and the rest follow.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 ht="14.1" customHeight="1" s="69">
      <c r="A8" s="13" t="inlineStr">
        <is>
          <t>HOW TO READ IT:  'Net This Month' green = you made more than you spent that month. 'Running Cash Balance' red =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 ht="14.1" customHeight="1" s="69">
      <c r="A9" s="13" t="inlineStr">
        <is>
          <t>you have less than $0 overall — time to slow spending or raise more funding.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1">
      <c r="A11" s="3" t="inlineStr">
        <is>
          <t>Starting Cash:</t>
        </is>
      </c>
      <c r="B11" s="38" t="n">
        <v>0</v>
      </c>
    </row>
    <row r="13" ht="27.9" customHeight="1" s="69">
      <c r="A13" s="23" t="inlineStr">
        <is>
          <t>Month</t>
        </is>
      </c>
      <c r="B13" s="23" t="inlineStr">
        <is>
          <t>Money In: Funding</t>
        </is>
      </c>
      <c r="C13" s="23" t="inlineStr">
        <is>
          <t>Money In: Sales</t>
        </is>
      </c>
      <c r="D13" s="23" t="inlineStr">
        <is>
          <t>TOTAL IN</t>
        </is>
      </c>
      <c r="E13" s="23" t="inlineStr">
        <is>
          <t>Money Out: Capital</t>
        </is>
      </c>
      <c r="F13" s="23" t="inlineStr">
        <is>
          <t>Money Out: Operating</t>
        </is>
      </c>
      <c r="G13" s="23" t="inlineStr">
        <is>
          <t>TOTAL OUT</t>
        </is>
      </c>
      <c r="H13" s="23" t="inlineStr">
        <is>
          <t>NET THIS MONTH</t>
        </is>
      </c>
      <c r="I13" s="23" t="inlineStr">
        <is>
          <t>RUNNING CASH BALANCE</t>
        </is>
      </c>
    </row>
    <row r="14">
      <c r="A14" s="42" t="n">
        <v>46023</v>
      </c>
      <c r="B14" s="37">
        <f>SUMIFS(Funding!$G$14:$G$308,Funding!$A$14:$A$308,"&gt;="&amp;$A14,Funding!$A$14:$A$308,"&lt;"&amp;EDATE($A14,1))</f>
        <v/>
      </c>
      <c r="C14" s="37">
        <f>SUMIFS('Sales Log'!$L$14:$L$313,'Sales Log'!$A$14:$A$313,"&gt;="&amp;$A14,'Sales Log'!$A$14:$A$313,"&lt;"&amp;EDATE($A14,1))</f>
        <v/>
      </c>
      <c r="D14" s="37">
        <f>B14+C14</f>
        <v/>
      </c>
      <c r="E14" s="37">
        <f>SUMIFS(Capital!$G$14:$G$63,Capital!$E$14:$E$63,"&gt;="&amp;$A14,Capital!$E$14:$E$63,"&lt;"&amp;EDATE($A14,1))</f>
        <v/>
      </c>
      <c r="F14" s="37">
        <f>SUMIFS('Operating Costs'!$E$13:$E$212,'Operating Costs'!$A$13:$A$212,"&gt;="&amp;$A14,'Operating Costs'!$A$13:$A$212,"&lt;"&amp;EDATE($A14,1))</f>
        <v/>
      </c>
      <c r="G14" s="37">
        <f>E14+F14</f>
        <v/>
      </c>
      <c r="H14" s="38">
        <f>D14-G14</f>
        <v/>
      </c>
      <c r="I14" s="38">
        <f>$B$11+H14</f>
        <v/>
      </c>
    </row>
    <row r="15">
      <c r="A15" s="42">
        <f>EDATE(A14,1)</f>
        <v/>
      </c>
      <c r="B15" s="37">
        <f>SUMIFS(Funding!$G$14:$G$308,Funding!$A$14:$A$308,"&gt;="&amp;$A15,Funding!$A$14:$A$308,"&lt;"&amp;EDATE($A15,1))</f>
        <v/>
      </c>
      <c r="C15" s="37">
        <f>SUMIFS('Sales Log'!$L$14:$L$313,'Sales Log'!$A$14:$A$313,"&gt;="&amp;$A15,'Sales Log'!$A$14:$A$313,"&lt;"&amp;EDATE($A15,1))</f>
        <v/>
      </c>
      <c r="D15" s="37">
        <f>B15+C15</f>
        <v/>
      </c>
      <c r="E15" s="37">
        <f>SUMIFS(Capital!$G$14:$G$63,Capital!$E$14:$E$63,"&gt;="&amp;$A15,Capital!$E$14:$E$63,"&lt;"&amp;EDATE($A15,1))</f>
        <v/>
      </c>
      <c r="F15" s="37">
        <f>SUMIFS('Operating Costs'!$E$13:$E$212,'Operating Costs'!$A$13:$A$212,"&gt;="&amp;$A15,'Operating Costs'!$A$13:$A$212,"&lt;"&amp;EDATE($A15,1))</f>
        <v/>
      </c>
      <c r="G15" s="37">
        <f>E15+F15</f>
        <v/>
      </c>
      <c r="H15" s="38">
        <f>D15-G15</f>
        <v/>
      </c>
      <c r="I15" s="38">
        <f>I14+H15</f>
        <v/>
      </c>
    </row>
    <row r="16">
      <c r="A16" s="42">
        <f>EDATE(A15,1)</f>
        <v/>
      </c>
      <c r="B16" s="37">
        <f>SUMIFS(Funding!$G$14:$G$308,Funding!$A$14:$A$308,"&gt;="&amp;$A16,Funding!$A$14:$A$308,"&lt;"&amp;EDATE($A16,1))</f>
        <v/>
      </c>
      <c r="C16" s="37">
        <f>SUMIFS('Sales Log'!$L$14:$L$313,'Sales Log'!$A$14:$A$313,"&gt;="&amp;$A16,'Sales Log'!$A$14:$A$313,"&lt;"&amp;EDATE($A16,1))</f>
        <v/>
      </c>
      <c r="D16" s="37">
        <f>B16+C16</f>
        <v/>
      </c>
      <c r="E16" s="37">
        <f>SUMIFS(Capital!$G$14:$G$63,Capital!$E$14:$E$63,"&gt;="&amp;$A16,Capital!$E$14:$E$63,"&lt;"&amp;EDATE($A16,1))</f>
        <v/>
      </c>
      <c r="F16" s="37">
        <f>SUMIFS('Operating Costs'!$E$13:$E$212,'Operating Costs'!$A$13:$A$212,"&gt;="&amp;$A16,'Operating Costs'!$A$13:$A$212,"&lt;"&amp;EDATE($A16,1))</f>
        <v/>
      </c>
      <c r="G16" s="37">
        <f>E16+F16</f>
        <v/>
      </c>
      <c r="H16" s="38">
        <f>D16-G16</f>
        <v/>
      </c>
      <c r="I16" s="38">
        <f>I15+H16</f>
        <v/>
      </c>
    </row>
    <row r="17">
      <c r="A17" s="42">
        <f>EDATE(A16,1)</f>
        <v/>
      </c>
      <c r="B17" s="37">
        <f>SUMIFS(Funding!$G$14:$G$308,Funding!$A$14:$A$308,"&gt;="&amp;$A17,Funding!$A$14:$A$308,"&lt;"&amp;EDATE($A17,1))</f>
        <v/>
      </c>
      <c r="C17" s="37">
        <f>SUMIFS('Sales Log'!$L$14:$L$313,'Sales Log'!$A$14:$A$313,"&gt;="&amp;$A17,'Sales Log'!$A$14:$A$313,"&lt;"&amp;EDATE($A17,1))</f>
        <v/>
      </c>
      <c r="D17" s="37">
        <f>B17+C17</f>
        <v/>
      </c>
      <c r="E17" s="37">
        <f>SUMIFS(Capital!$G$14:$G$63,Capital!$E$14:$E$63,"&gt;="&amp;$A17,Capital!$E$14:$E$63,"&lt;"&amp;EDATE($A17,1))</f>
        <v/>
      </c>
      <c r="F17" s="37">
        <f>SUMIFS('Operating Costs'!$E$13:$E$212,'Operating Costs'!$A$13:$A$212,"&gt;="&amp;$A17,'Operating Costs'!$A$13:$A$212,"&lt;"&amp;EDATE($A17,1))</f>
        <v/>
      </c>
      <c r="G17" s="37">
        <f>E17+F17</f>
        <v/>
      </c>
      <c r="H17" s="38">
        <f>D17-G17</f>
        <v/>
      </c>
      <c r="I17" s="38">
        <f>I16+H17</f>
        <v/>
      </c>
    </row>
    <row r="18">
      <c r="A18" s="42">
        <f>EDATE(A17,1)</f>
        <v/>
      </c>
      <c r="B18" s="37">
        <f>SUMIFS(Funding!$G$14:$G$308,Funding!$A$14:$A$308,"&gt;="&amp;$A18,Funding!$A$14:$A$308,"&lt;"&amp;EDATE($A18,1))</f>
        <v/>
      </c>
      <c r="C18" s="37">
        <f>SUMIFS('Sales Log'!$L$14:$L$313,'Sales Log'!$A$14:$A$313,"&gt;="&amp;$A18,'Sales Log'!$A$14:$A$313,"&lt;"&amp;EDATE($A18,1))</f>
        <v/>
      </c>
      <c r="D18" s="37">
        <f>B18+C18</f>
        <v/>
      </c>
      <c r="E18" s="37">
        <f>SUMIFS(Capital!$G$14:$G$63,Capital!$E$14:$E$63,"&gt;="&amp;$A18,Capital!$E$14:$E$63,"&lt;"&amp;EDATE($A18,1))</f>
        <v/>
      </c>
      <c r="F18" s="37">
        <f>SUMIFS('Operating Costs'!$E$13:$E$212,'Operating Costs'!$A$13:$A$212,"&gt;="&amp;$A18,'Operating Costs'!$A$13:$A$212,"&lt;"&amp;EDATE($A18,1))</f>
        <v/>
      </c>
      <c r="G18" s="37">
        <f>E18+F18</f>
        <v/>
      </c>
      <c r="H18" s="38">
        <f>D18-G18</f>
        <v/>
      </c>
      <c r="I18" s="38">
        <f>I17+H18</f>
        <v/>
      </c>
    </row>
    <row r="19">
      <c r="A19" s="42">
        <f>EDATE(A18,1)</f>
        <v/>
      </c>
      <c r="B19" s="37">
        <f>SUMIFS(Funding!$G$14:$G$308,Funding!$A$14:$A$308,"&gt;="&amp;$A19,Funding!$A$14:$A$308,"&lt;"&amp;EDATE($A19,1))</f>
        <v/>
      </c>
      <c r="C19" s="37">
        <f>SUMIFS('Sales Log'!$L$14:$L$313,'Sales Log'!$A$14:$A$313,"&gt;="&amp;$A19,'Sales Log'!$A$14:$A$313,"&lt;"&amp;EDATE($A19,1))</f>
        <v/>
      </c>
      <c r="D19" s="37">
        <f>B19+C19</f>
        <v/>
      </c>
      <c r="E19" s="37">
        <f>SUMIFS(Capital!$G$14:$G$63,Capital!$E$14:$E$63,"&gt;="&amp;$A19,Capital!$E$14:$E$63,"&lt;"&amp;EDATE($A19,1))</f>
        <v/>
      </c>
      <c r="F19" s="37">
        <f>SUMIFS('Operating Costs'!$E$13:$E$212,'Operating Costs'!$A$13:$A$212,"&gt;="&amp;$A19,'Operating Costs'!$A$13:$A$212,"&lt;"&amp;EDATE($A19,1))</f>
        <v/>
      </c>
      <c r="G19" s="37">
        <f>E19+F19</f>
        <v/>
      </c>
      <c r="H19" s="38">
        <f>D19-G19</f>
        <v/>
      </c>
      <c r="I19" s="38">
        <f>I18+H19</f>
        <v/>
      </c>
    </row>
    <row r="20">
      <c r="A20" s="42">
        <f>EDATE(A19,1)</f>
        <v/>
      </c>
      <c r="B20" s="37">
        <f>SUMIFS(Funding!$G$14:$G$308,Funding!$A$14:$A$308,"&gt;="&amp;$A20,Funding!$A$14:$A$308,"&lt;"&amp;EDATE($A20,1))</f>
        <v/>
      </c>
      <c r="C20" s="37">
        <f>SUMIFS('Sales Log'!$L$14:$L$313,'Sales Log'!$A$14:$A$313,"&gt;="&amp;$A20,'Sales Log'!$A$14:$A$313,"&lt;"&amp;EDATE($A20,1))</f>
        <v/>
      </c>
      <c r="D20" s="37">
        <f>B20+C20</f>
        <v/>
      </c>
      <c r="E20" s="37">
        <f>SUMIFS(Capital!$G$14:$G$63,Capital!$E$14:$E$63,"&gt;="&amp;$A20,Capital!$E$14:$E$63,"&lt;"&amp;EDATE($A20,1))</f>
        <v/>
      </c>
      <c r="F20" s="37">
        <f>SUMIFS('Operating Costs'!$E$13:$E$212,'Operating Costs'!$A$13:$A$212,"&gt;="&amp;$A20,'Operating Costs'!$A$13:$A$212,"&lt;"&amp;EDATE($A20,1))</f>
        <v/>
      </c>
      <c r="G20" s="37">
        <f>E20+F20</f>
        <v/>
      </c>
      <c r="H20" s="38">
        <f>D20-G20</f>
        <v/>
      </c>
      <c r="I20" s="38">
        <f>I19+H20</f>
        <v/>
      </c>
    </row>
    <row r="21">
      <c r="A21" s="42">
        <f>EDATE(A20,1)</f>
        <v/>
      </c>
      <c r="B21" s="37">
        <f>SUMIFS(Funding!$G$14:$G$308,Funding!$A$14:$A$308,"&gt;="&amp;$A21,Funding!$A$14:$A$308,"&lt;"&amp;EDATE($A21,1))</f>
        <v/>
      </c>
      <c r="C21" s="37">
        <f>SUMIFS('Sales Log'!$L$14:$L$313,'Sales Log'!$A$14:$A$313,"&gt;="&amp;$A21,'Sales Log'!$A$14:$A$313,"&lt;"&amp;EDATE($A21,1))</f>
        <v/>
      </c>
      <c r="D21" s="37">
        <f>B21+C21</f>
        <v/>
      </c>
      <c r="E21" s="37">
        <f>SUMIFS(Capital!$G$14:$G$63,Capital!$E$14:$E$63,"&gt;="&amp;$A21,Capital!$E$14:$E$63,"&lt;"&amp;EDATE($A21,1))</f>
        <v/>
      </c>
      <c r="F21" s="37">
        <f>SUMIFS('Operating Costs'!$E$13:$E$212,'Operating Costs'!$A$13:$A$212,"&gt;="&amp;$A21,'Operating Costs'!$A$13:$A$212,"&lt;"&amp;EDATE($A21,1))</f>
        <v/>
      </c>
      <c r="G21" s="37">
        <f>E21+F21</f>
        <v/>
      </c>
      <c r="H21" s="38">
        <f>D21-G21</f>
        <v/>
      </c>
      <c r="I21" s="38">
        <f>I20+H21</f>
        <v/>
      </c>
    </row>
    <row r="22">
      <c r="A22" s="42">
        <f>EDATE(A21,1)</f>
        <v/>
      </c>
      <c r="B22" s="37">
        <f>SUMIFS(Funding!$G$14:$G$308,Funding!$A$14:$A$308,"&gt;="&amp;$A22,Funding!$A$14:$A$308,"&lt;"&amp;EDATE($A22,1))</f>
        <v/>
      </c>
      <c r="C22" s="37">
        <f>SUMIFS('Sales Log'!$L$14:$L$313,'Sales Log'!$A$14:$A$313,"&gt;="&amp;$A22,'Sales Log'!$A$14:$A$313,"&lt;"&amp;EDATE($A22,1))</f>
        <v/>
      </c>
      <c r="D22" s="37">
        <f>B22+C22</f>
        <v/>
      </c>
      <c r="E22" s="37">
        <f>SUMIFS(Capital!$G$14:$G$63,Capital!$E$14:$E$63,"&gt;="&amp;$A22,Capital!$E$14:$E$63,"&lt;"&amp;EDATE($A22,1))</f>
        <v/>
      </c>
      <c r="F22" s="37">
        <f>SUMIFS('Operating Costs'!$E$13:$E$212,'Operating Costs'!$A$13:$A$212,"&gt;="&amp;$A22,'Operating Costs'!$A$13:$A$212,"&lt;"&amp;EDATE($A22,1))</f>
        <v/>
      </c>
      <c r="G22" s="37">
        <f>E22+F22</f>
        <v/>
      </c>
      <c r="H22" s="38">
        <f>D22-G22</f>
        <v/>
      </c>
      <c r="I22" s="38">
        <f>I21+H22</f>
        <v/>
      </c>
    </row>
    <row r="23">
      <c r="A23" s="42">
        <f>EDATE(A22,1)</f>
        <v/>
      </c>
      <c r="B23" s="37">
        <f>SUMIFS(Funding!$G$14:$G$308,Funding!$A$14:$A$308,"&gt;="&amp;$A23,Funding!$A$14:$A$308,"&lt;"&amp;EDATE($A23,1))</f>
        <v/>
      </c>
      <c r="C23" s="37">
        <f>SUMIFS('Sales Log'!$L$14:$L$313,'Sales Log'!$A$14:$A$313,"&gt;="&amp;$A23,'Sales Log'!$A$14:$A$313,"&lt;"&amp;EDATE($A23,1))</f>
        <v/>
      </c>
      <c r="D23" s="37">
        <f>B23+C23</f>
        <v/>
      </c>
      <c r="E23" s="37">
        <f>SUMIFS(Capital!$G$14:$G$63,Capital!$E$14:$E$63,"&gt;="&amp;$A23,Capital!$E$14:$E$63,"&lt;"&amp;EDATE($A23,1))</f>
        <v/>
      </c>
      <c r="F23" s="37">
        <f>SUMIFS('Operating Costs'!$E$13:$E$212,'Operating Costs'!$A$13:$A$212,"&gt;="&amp;$A23,'Operating Costs'!$A$13:$A$212,"&lt;"&amp;EDATE($A23,1))</f>
        <v/>
      </c>
      <c r="G23" s="37">
        <f>E23+F23</f>
        <v/>
      </c>
      <c r="H23" s="38">
        <f>D23-G23</f>
        <v/>
      </c>
      <c r="I23" s="38">
        <f>I22+H23</f>
        <v/>
      </c>
    </row>
    <row r="24">
      <c r="A24" s="42">
        <f>EDATE(A23,1)</f>
        <v/>
      </c>
      <c r="B24" s="37">
        <f>SUMIFS(Funding!$G$14:$G$308,Funding!$A$14:$A$308,"&gt;="&amp;$A24,Funding!$A$14:$A$308,"&lt;"&amp;EDATE($A24,1))</f>
        <v/>
      </c>
      <c r="C24" s="37">
        <f>SUMIFS('Sales Log'!$L$14:$L$313,'Sales Log'!$A$14:$A$313,"&gt;="&amp;$A24,'Sales Log'!$A$14:$A$313,"&lt;"&amp;EDATE($A24,1))</f>
        <v/>
      </c>
      <c r="D24" s="37">
        <f>B24+C24</f>
        <v/>
      </c>
      <c r="E24" s="37">
        <f>SUMIFS(Capital!$G$14:$G$63,Capital!$E$14:$E$63,"&gt;="&amp;$A24,Capital!$E$14:$E$63,"&lt;"&amp;EDATE($A24,1))</f>
        <v/>
      </c>
      <c r="F24" s="37">
        <f>SUMIFS('Operating Costs'!$E$13:$E$212,'Operating Costs'!$A$13:$A$212,"&gt;="&amp;$A24,'Operating Costs'!$A$13:$A$212,"&lt;"&amp;EDATE($A24,1))</f>
        <v/>
      </c>
      <c r="G24" s="37">
        <f>E24+F24</f>
        <v/>
      </c>
      <c r="H24" s="38">
        <f>D24-G24</f>
        <v/>
      </c>
      <c r="I24" s="38">
        <f>I23+H24</f>
        <v/>
      </c>
    </row>
    <row r="25">
      <c r="A25" s="42">
        <f>EDATE(A24,1)</f>
        <v/>
      </c>
      <c r="B25" s="37">
        <f>SUMIFS(Funding!$G$14:$G$308,Funding!$A$14:$A$308,"&gt;="&amp;$A25,Funding!$A$14:$A$308,"&lt;"&amp;EDATE($A25,1))</f>
        <v/>
      </c>
      <c r="C25" s="37">
        <f>SUMIFS('Sales Log'!$L$14:$L$313,'Sales Log'!$A$14:$A$313,"&gt;="&amp;$A25,'Sales Log'!$A$14:$A$313,"&lt;"&amp;EDATE($A25,1))</f>
        <v/>
      </c>
      <c r="D25" s="37">
        <f>B25+C25</f>
        <v/>
      </c>
      <c r="E25" s="37">
        <f>SUMIFS(Capital!$G$14:$G$63,Capital!$E$14:$E$63,"&gt;="&amp;$A25,Capital!$E$14:$E$63,"&lt;"&amp;EDATE($A25,1))</f>
        <v/>
      </c>
      <c r="F25" s="37">
        <f>SUMIFS('Operating Costs'!$E$13:$E$212,'Operating Costs'!$A$13:$A$212,"&gt;="&amp;$A25,'Operating Costs'!$A$13:$A$212,"&lt;"&amp;EDATE($A25,1))</f>
        <v/>
      </c>
      <c r="G25" s="37">
        <f>E25+F25</f>
        <v/>
      </c>
      <c r="H25" s="38">
        <f>D25-G25</f>
        <v/>
      </c>
      <c r="I25" s="38">
        <f>I24+H25</f>
        <v/>
      </c>
    </row>
    <row r="26">
      <c r="A26" s="29" t="inlineStr">
        <is>
          <t>YEAR 1</t>
        </is>
      </c>
      <c r="B26" s="43">
        <f>SUM(B14:B25)</f>
        <v/>
      </c>
      <c r="C26" s="43">
        <f>SUM(C14:C25)</f>
        <v/>
      </c>
      <c r="D26" s="43">
        <f>SUM(D14:D25)</f>
        <v/>
      </c>
      <c r="E26" s="43">
        <f>SUM(E14:E25)</f>
        <v/>
      </c>
      <c r="F26" s="43">
        <f>SUM(F14:F25)</f>
        <v/>
      </c>
      <c r="G26" s="43">
        <f>SUM(G14:G25)</f>
        <v/>
      </c>
      <c r="H26" s="43">
        <f>SUM(H14:H25)</f>
        <v/>
      </c>
      <c r="I26" s="43">
        <f>I25</f>
        <v/>
      </c>
    </row>
  </sheetData>
  <mergeCells count="2">
    <mergeCell ref="A1:I1"/>
    <mergeCell ref="A2:I2"/>
  </mergeCells>
  <conditionalFormatting sqref="H14:I26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A5C9E"/>
    <outlinePr summaryBelow="1" summaryRight="1"/>
    <pageSetUpPr/>
  </sheetPr>
  <dimension ref="A1:G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style="69" min="1" max="1"/>
    <col width="30" customWidth="1" style="69" min="2" max="2"/>
    <col width="15" customWidth="1" style="69" min="3" max="3"/>
    <col width="15" customWidth="1" style="69" min="4" max="4"/>
    <col width="26" customWidth="1" style="69" min="5" max="5"/>
    <col width="13" customWidth="1" style="69" min="6" max="6"/>
    <col width="30" customWidth="1" style="69" min="7" max="7"/>
  </cols>
  <sheetData>
    <row r="1" ht="26" customHeight="1" s="69">
      <c r="A1" s="84" t="inlineStr">
        <is>
          <t>Tax Prep — Write-Offs &amp; What the IRS Wants to See</t>
        </is>
      </c>
    </row>
    <row r="2" ht="16" customHeight="1" s="69">
      <c r="A2" s="86" t="inlineStr">
        <is>
          <t>Nothing is deducted automatically. This tab turns your expense log into the numbers a tax return actually asks for.</t>
        </is>
      </c>
    </row>
    <row r="4" ht="14" customHeight="1" s="69">
      <c r="A4" s="87" t="inlineStr">
        <is>
          <t>THE SHORT ANSWER TO 'DOES UBER GET WRITTEN OFF AUTOMATICALLY?' — No. Nothing here files itself.</t>
        </is>
      </c>
      <c r="B4" s="88" t="n"/>
      <c r="C4" s="88" t="n"/>
      <c r="D4" s="88" t="n"/>
      <c r="E4" s="88" t="n"/>
      <c r="F4" s="88" t="n"/>
      <c r="G4" s="88" t="n"/>
    </row>
    <row r="5" ht="14" customHeight="1" s="69">
      <c r="A5" s="89" t="inlineStr">
        <is>
          <t>A spreadsheet is a RECORD, not a tax return. Logging the Uber does not deduct it; it gives you the proof and the</t>
        </is>
      </c>
      <c r="B5" s="88" t="n"/>
      <c r="C5" s="88" t="n"/>
      <c r="D5" s="88" t="n"/>
      <c r="E5" s="88" t="n"/>
      <c r="F5" s="88" t="n"/>
      <c r="G5" s="88" t="n"/>
    </row>
    <row r="6" ht="14" customHeight="1" s="69">
      <c r="A6" s="89" t="inlineStr">
        <is>
          <t>number so that YOU (or your accountant) can claim it at tax time. The deduction happens on the return, not here.</t>
        </is>
      </c>
      <c r="B6" s="88" t="n"/>
      <c r="C6" s="88" t="n"/>
      <c r="D6" s="88" t="n"/>
      <c r="E6" s="88" t="n"/>
      <c r="F6" s="88" t="n"/>
      <c r="G6" s="88" t="n"/>
    </row>
    <row r="7" ht="14" customHeight="1" s="69">
      <c r="A7" s="87" t="inlineStr">
        <is>
          <t>WHAT MAKES SOMETHING DEDUCTIBLE:  it has to be 'ordinary and necessary' for BOYNT — a normal, helpful business</t>
        </is>
      </c>
      <c r="B7" s="88" t="n"/>
      <c r="C7" s="88" t="n"/>
      <c r="D7" s="88" t="n"/>
      <c r="E7" s="88" t="n"/>
      <c r="F7" s="88" t="n"/>
      <c r="G7" s="88" t="n"/>
    </row>
    <row r="8" ht="14" customHeight="1" s="69">
      <c r="A8" s="89" t="inlineStr">
        <is>
          <t>cost. If a purchase was partly personal, only the business share counts. Use the new 'Tax Deductible?' column on</t>
        </is>
      </c>
      <c r="B8" s="88" t="n"/>
      <c r="C8" s="88" t="n"/>
      <c r="D8" s="88" t="n"/>
      <c r="E8" s="88" t="n"/>
      <c r="F8" s="88" t="n"/>
      <c r="G8" s="88" t="n"/>
    </row>
    <row r="9" ht="14" customHeight="1" s="69">
      <c r="A9" s="89" t="inlineStr">
        <is>
          <t>Operating Costs to mark each row Yes / No (personal) / Partial - ask CPA. Leaving it blank is treated as Yes. Rows</t>
        </is>
      </c>
      <c r="B9" s="88" t="n"/>
      <c r="C9" s="88" t="n"/>
      <c r="D9" s="88" t="n"/>
      <c r="E9" s="88" t="n"/>
      <c r="F9" s="88" t="n"/>
      <c r="G9" s="88" t="n"/>
    </row>
    <row r="10" ht="14" customHeight="1" s="69">
      <c r="A10" s="89" t="inlineStr">
        <is>
          <t>flagged Partial are kept OUT of the totals below and listed on their own line so you can settle them with your CPA.</t>
        </is>
      </c>
      <c r="B10" s="88" t="n"/>
      <c r="C10" s="88" t="n"/>
      <c r="D10" s="88" t="n"/>
      <c r="E10" s="88" t="n"/>
      <c r="F10" s="88" t="n"/>
      <c r="G10" s="88" t="n"/>
    </row>
    <row r="11" ht="14" customHeight="1" s="69">
      <c r="A11" s="87" t="inlineStr">
        <is>
          <t>WHERE TRAVEL GETS PEOPLE IN TROUBLE:  travel is the #1 audited category. A bank charge alone is NOT enough proof.</t>
        </is>
      </c>
      <c r="B11" s="88" t="n"/>
      <c r="C11" s="88" t="n"/>
      <c r="D11" s="88" t="n"/>
      <c r="E11" s="88" t="n"/>
      <c r="F11" s="88" t="n"/>
      <c r="G11" s="88" t="n"/>
    </row>
    <row r="12" ht="14" customHeight="1" s="69">
      <c r="A12" s="89" t="inlineStr">
        <is>
          <t>For every trip the IRS wants date, place, amount AND business purpose. Fill in the Travel Log below the moment you</t>
        </is>
      </c>
      <c r="B12" s="88" t="n"/>
      <c r="C12" s="88" t="n"/>
      <c r="D12" s="88" t="n"/>
      <c r="E12" s="88" t="n"/>
      <c r="F12" s="88" t="n"/>
      <c r="G12" s="88" t="n"/>
    </row>
    <row r="13" ht="14" customHeight="1" s="69">
      <c r="A13" s="89" t="inlineStr">
        <is>
          <t>take a trip — a log written months later is worth much less if you ever get asked about it.</t>
        </is>
      </c>
      <c r="B13" s="88" t="n"/>
      <c r="C13" s="88" t="n"/>
      <c r="D13" s="88" t="n"/>
      <c r="E13" s="88" t="n"/>
      <c r="F13" s="88" t="n"/>
      <c r="G13" s="88" t="n"/>
    </row>
    <row r="14" ht="14" customHeight="1" s="69">
      <c r="A14" s="87" t="inlineStr">
        <is>
          <t>YOU ARE A SINGLE-MEMBER PA LLC, so this most likely flows onto Schedule C with your personal 1040. The section</t>
        </is>
      </c>
      <c r="B14" s="88" t="n"/>
      <c r="C14" s="88" t="n"/>
      <c r="D14" s="88" t="n"/>
      <c r="E14" s="88" t="n"/>
      <c r="F14" s="88" t="n"/>
      <c r="G14" s="88" t="n"/>
    </row>
    <row r="15" ht="14" customHeight="1" s="69">
      <c r="A15" s="89" t="inlineStr">
        <is>
          <t>below groups your spending into the actual Schedule C lines so filing is mostly copying numbers across.</t>
        </is>
      </c>
      <c r="B15" s="88" t="n"/>
      <c r="C15" s="88" t="n"/>
      <c r="D15" s="88" t="n"/>
      <c r="E15" s="88" t="n"/>
      <c r="F15" s="88" t="n"/>
      <c r="G15" s="88" t="n"/>
    </row>
    <row r="16" ht="14" customHeight="1" s="69">
      <c r="A16" s="87" t="inlineStr">
        <is>
          <t>This is general information to keep you organized — have a tax professional review it before you file.</t>
        </is>
      </c>
      <c r="B16" s="88" t="n"/>
      <c r="C16" s="88" t="n"/>
      <c r="D16" s="88" t="n"/>
      <c r="E16" s="88" t="n"/>
      <c r="F16" s="88" t="n"/>
      <c r="G16" s="88" t="n"/>
    </row>
    <row r="18" ht="20" customHeight="1" s="69">
      <c r="A18" s="76" t="inlineStr">
        <is>
          <t>1. DEDUCTIBLE EXPENSES BY SCHEDULE C LINE  (auto — pulls from your Operating Costs tab)</t>
        </is>
      </c>
    </row>
    <row r="19" ht="26" customHeight="1" s="69">
      <c r="A19" s="73" t="inlineStr">
        <is>
          <t>Schedule C line</t>
        </is>
      </c>
      <c r="B19" s="73" t="inlineStr">
        <is>
          <t>Which of your categories feed it</t>
        </is>
      </c>
      <c r="C19" s="73" t="inlineStr">
        <is>
          <t>Amount (auto)</t>
        </is>
      </c>
      <c r="E19" s="73" t="inlineStr">
        <is>
          <t>Notes</t>
        </is>
      </c>
    </row>
    <row r="20">
      <c r="A20" s="90" t="inlineStr">
        <is>
          <t>Line 8 — Advertising</t>
        </is>
      </c>
      <c r="B20" s="81" t="inlineStr">
        <is>
          <t>Marketing &amp; Ads</t>
        </is>
      </c>
      <c r="C20" s="91">
        <f>SUMIFS('Operating Costs'!$E$13:$E$212,'Operating Costs'!$C$13:$C$212,"Marketing &amp; Ads",'Operating Costs'!$H$13:$H$212,"&lt;&gt;No (personal)")-SUMIFS('Operating Costs'!$E$13:$E$212,'Operating Costs'!$C$13:$C$212,"Marketing &amp; Ads",'Operating Costs'!$H$13:$H$212,"Partial - ask CPA")</f>
        <v/>
      </c>
      <c r="E20" s="92" t="inlineStr">
        <is>
          <t>Facebook ads, the Instagram ad guy, Drake Media, business cards</t>
        </is>
      </c>
    </row>
    <row r="21">
      <c r="A21" s="90" t="inlineStr">
        <is>
          <t>Line 15 — Insurance</t>
        </is>
      </c>
      <c r="B21" s="81" t="inlineStr">
        <is>
          <t>Insurance</t>
        </is>
      </c>
      <c r="C21" s="91">
        <f>SUMIFS('Operating Costs'!$E$13:$E$212,'Operating Costs'!$C$13:$C$212,"Insurance",'Operating Costs'!$H$13:$H$212,"&lt;&gt;No (personal)")-SUMIFS('Operating Costs'!$E$13:$E$212,'Operating Costs'!$C$13:$C$212,"Insurance",'Operating Costs'!$H$13:$H$212,"Partial - ask CPA")</f>
        <v/>
      </c>
      <c r="E21" s="92" t="inlineStr">
        <is>
          <t>Product liability insurance once you buy it</t>
        </is>
      </c>
    </row>
    <row r="22">
      <c r="A22" s="90" t="inlineStr">
        <is>
          <t>Line 18 — Office expense</t>
        </is>
      </c>
      <c r="B22" s="81" t="inlineStr">
        <is>
          <t>Website &amp; Software</t>
        </is>
      </c>
      <c r="C22" s="91">
        <f>SUMIFS('Operating Costs'!$E$13:$E$212,'Operating Costs'!$C$13:$C$212,"Website &amp; Software",'Operating Costs'!$H$13:$H$212,"&lt;&gt;No (personal)")-SUMIFS('Operating Costs'!$E$13:$E$212,'Operating Costs'!$C$13:$C$212,"Website &amp; Software",'Operating Costs'!$H$13:$H$212,"Partial - ask CPA")</f>
        <v/>
      </c>
      <c r="E22" s="92" t="inlineStr">
        <is>
          <t>Hostinger, Shopify fees</t>
        </is>
      </c>
    </row>
    <row r="23">
      <c r="A23" s="90" t="inlineStr">
        <is>
          <t>Line 21 — Repairs &amp; maintenance</t>
        </is>
      </c>
      <c r="B23" s="81" t="inlineStr">
        <is>
          <t>Equipment Repairs</t>
        </is>
      </c>
      <c r="C23" s="91">
        <f>SUMIFS('Operating Costs'!$E$13:$E$212,'Operating Costs'!$C$13:$C$212,"Equipment Repairs",'Operating Costs'!$H$13:$H$212,"&lt;&gt;No (personal)")-SUMIFS('Operating Costs'!$E$13:$E$212,'Operating Costs'!$C$13:$C$212,"Equipment Repairs",'Operating Costs'!$H$13:$H$212,"Partial - ask CPA")</f>
        <v/>
      </c>
      <c r="E23" s="92" t="inlineStr"/>
    </row>
    <row r="24">
      <c r="A24" s="90" t="inlineStr">
        <is>
          <t>Line 22 — Supplies</t>
        </is>
      </c>
      <c r="B24" s="81" t="inlineStr">
        <is>
          <t>Materials &amp; Product Supplies + Packaging</t>
        </is>
      </c>
      <c r="C24" s="91">
        <f>SUMIFS('Operating Costs'!$E$13:$E$212,'Operating Costs'!$C$13:$C$212,"Materials &amp; Product Supplies",'Operating Costs'!$H$13:$H$212,"&lt;&gt;No (personal)")-SUMIFS('Operating Costs'!$E$13:$E$212,'Operating Costs'!$C$13:$C$212,"Materials &amp; Product Supplies",'Operating Costs'!$H$13:$H$212,"Partial - ask CPA")+SUMIFS('Operating Costs'!$E$13:$E$212,'Operating Costs'!$C$13:$C$212,"Packaging",'Operating Costs'!$H$13:$H$212,"&lt;&gt;No (personal)")-SUMIFS('Operating Costs'!$E$13:$E$212,'Operating Costs'!$C$13:$C$212,"Packaging",'Operating Costs'!$H$13:$H$212,"Partial - ask CPA")</f>
        <v/>
      </c>
      <c r="E24" s="92" t="inlineStr">
        <is>
          <t>Watch for overlap: anything already counted per-pair on COGS belongs in Part III, not here</t>
        </is>
      </c>
    </row>
    <row r="25">
      <c r="A25" s="90" t="inlineStr">
        <is>
          <t>Line 23 — Taxes &amp; licenses</t>
        </is>
      </c>
      <c r="B25" s="81" t="inlineStr">
        <is>
          <t>Business Fees &amp; Licenses</t>
        </is>
      </c>
      <c r="C25" s="91">
        <f>SUMIFS('Operating Costs'!$E$13:$E$212,'Operating Costs'!$C$13:$C$212,"Business Fees &amp; Licenses",'Operating Costs'!$H$13:$H$212,"&lt;&gt;No (personal)")-SUMIFS('Operating Costs'!$E$13:$E$212,'Operating Costs'!$C$13:$C$212,"Business Fees &amp; Licenses",'Operating Costs'!$H$13:$H$212,"Partial - ask CPA")</f>
        <v/>
      </c>
      <c r="E25" s="92" t="inlineStr">
        <is>
          <t>Wire fees, bank charges, filing fees</t>
        </is>
      </c>
    </row>
    <row r="26">
      <c r="A26" s="90" t="inlineStr">
        <is>
          <t>Line 24a — Travel</t>
        </is>
      </c>
      <c r="B26" s="81" t="inlineStr">
        <is>
          <t>Travel</t>
        </is>
      </c>
      <c r="C26" s="91">
        <f>SUMIFS('Operating Costs'!$E$13:$E$212,'Operating Costs'!$C$13:$C$212,"Travel",'Operating Costs'!$H$13:$H$212,"&lt;&gt;No (personal)")-SUMIFS('Operating Costs'!$E$13:$E$212,'Operating Costs'!$C$13:$C$212,"Travel",'Operating Costs'!$H$13:$H$212,"Partial - ask CPA")</f>
        <v/>
      </c>
      <c r="E26" s="92" t="inlineStr">
        <is>
          <t>Amtrak, LIRR, Uber. MUST be backed by the Travel Log below</t>
        </is>
      </c>
    </row>
    <row r="27">
      <c r="A27" s="90" t="inlineStr">
        <is>
          <t>Line 24b — Meals (50% only)</t>
        </is>
      </c>
      <c r="B27" s="81" t="inlineStr">
        <is>
          <t>Meals &amp; Entertainment (50%)</t>
        </is>
      </c>
      <c r="C27" s="91">
        <f>0.5*SUMIFS('Operating Costs'!$E$13:$E$212,'Operating Costs'!$C$13:$C$212,"Meals &amp; Entertainment (50%)",'Operating Costs'!$H$13:$H$212,"&lt;&gt;No (personal)")-SUMIFS('Operating Costs'!$E$13:$E$212,'Operating Costs'!$C$13:$C$212,"Meals &amp; Entertainment (50%)",'Operating Costs'!$H$13:$H$212,"Partial - ask CPA")</f>
        <v/>
      </c>
      <c r="E27" s="92" t="inlineStr">
        <is>
          <t>Business meals are only HALF deductible. Full spend shown in the row below</t>
        </is>
      </c>
    </row>
    <row r="28">
      <c r="A28" s="90" t="inlineStr">
        <is>
          <t>Line 27a — Other expenses</t>
        </is>
      </c>
      <c r="B28" s="81" t="inlineStr">
        <is>
          <t>Shipping &amp; Postage + Other</t>
        </is>
      </c>
      <c r="C28" s="91">
        <f>SUMIFS('Operating Costs'!$E$13:$E$212,'Operating Costs'!$C$13:$C$212,"Shipping &amp; Postage",'Operating Costs'!$H$13:$H$212,"&lt;&gt;No (personal)")-SUMIFS('Operating Costs'!$E$13:$E$212,'Operating Costs'!$C$13:$C$212,"Shipping &amp; Postage",'Operating Costs'!$H$13:$H$212,"Partial - ask CPA")+SUMIFS('Operating Costs'!$E$13:$E$212,'Operating Costs'!$C$13:$C$212,"Other",'Operating Costs'!$H$13:$H$212,"&lt;&gt;No (personal)")-SUMIFS('Operating Costs'!$E$13:$E$212,'Operating Costs'!$C$13:$C$212,"Other",'Operating Costs'!$H$13:$H$212,"Partial - ask CPA")</f>
        <v/>
      </c>
      <c r="E28" s="92" t="inlineStr">
        <is>
          <t>Postage to customers, anything uncategorized</t>
        </is>
      </c>
    </row>
    <row r="29">
      <c r="A29" s="93" t="inlineStr">
        <is>
          <t>TOTAL DEDUCTIBLE OPERATING EXPENSES</t>
        </is>
      </c>
      <c r="B29" s="93" t="n"/>
      <c r="C29" s="94">
        <f>SUM(C20:C28)</f>
        <v/>
      </c>
    </row>
    <row r="30">
      <c r="A30" s="95" t="inlineStr">
        <is>
          <t>Meals — full amount spent (for reference)</t>
        </is>
      </c>
      <c r="C30" s="91">
        <f>SUMIFS('Operating Costs'!$E$13:$E$212,'Operating Costs'!$C$13:$C$212,"Meals &amp; Entertainment (50%)",'Operating Costs'!$H$13:$H$212,"&lt;&gt;No (personal)")-SUMIFS('Operating Costs'!$E$13:$E$212,'Operating Costs'!$C$13:$C$212,"Meals &amp; Entertainment (50%)",'Operating Costs'!$H$13:$H$212,"Partial - ask CPA")</f>
        <v/>
      </c>
    </row>
    <row r="31">
      <c r="A31" s="96" t="inlineStr">
        <is>
          <t>Flagged 'Partial - ask CPA' (NOT counted above)</t>
        </is>
      </c>
      <c r="C31" s="97">
        <f>SUMIFS('Operating Costs'!$E$13:$E$212,'Operating Costs'!$H$13:$H$212,"Partial - ask CPA")</f>
        <v/>
      </c>
      <c r="E31" s="92" t="inlineStr">
        <is>
          <t>Decide these with your accountant, then change the flag to Yes or No</t>
        </is>
      </c>
    </row>
    <row r="32">
      <c r="A32" s="98" t="inlineStr">
        <is>
          <t>Marked personal — never deduct these</t>
        </is>
      </c>
      <c r="C32" s="99">
        <f>SUMIFS('Operating Costs'!$E$13:$E$212,'Operating Costs'!$H$13:$H$212,"No (personal)")</f>
        <v/>
      </c>
    </row>
    <row r="34" ht="20" customHeight="1" s="69">
      <c r="A34" s="76" t="inlineStr">
        <is>
          <t>2. TRAVEL LOG — fill this in the day you travel (this is the proof, the bank statement is not)</t>
        </is>
      </c>
    </row>
    <row r="35" ht="28" customHeight="1" s="69">
      <c r="A35" s="73" t="inlineStr">
        <is>
          <t>Date</t>
        </is>
      </c>
      <c r="B35" s="73" t="inlineStr">
        <is>
          <t>Trip / Destination</t>
        </is>
      </c>
      <c r="C35" s="73" t="inlineStr">
        <is>
          <t>Cost</t>
        </is>
      </c>
      <c r="D35" s="73" t="inlineStr">
        <is>
          <t>Miles Driven</t>
        </is>
      </c>
      <c r="E35" s="73" t="inlineStr">
        <is>
          <t>BUSINESS PURPOSE (be specific)</t>
        </is>
      </c>
      <c r="F35" s="73" t="inlineStr">
        <is>
          <t>Who You Met</t>
        </is>
      </c>
      <c r="G35" s="73" t="inlineStr">
        <is>
          <t>Receipt kept?</t>
        </is>
      </c>
    </row>
    <row r="36">
      <c r="A36" s="100" t="n"/>
      <c r="B36" s="101" t="inlineStr">
        <is>
          <t>EXAMPLE - delete this row</t>
        </is>
      </c>
      <c r="C36" s="102" t="n"/>
      <c r="D36" s="103" t="n"/>
      <c r="E36" s="101" t="inlineStr">
        <is>
          <t>Met supplier about lens samples / ran a booth</t>
        </is>
      </c>
      <c r="F36" s="103" t="n"/>
      <c r="G36" s="103" t="n"/>
    </row>
    <row r="37">
      <c r="A37" s="100" t="n"/>
      <c r="B37" s="103" t="n"/>
      <c r="C37" s="102" t="n"/>
      <c r="D37" s="103" t="n"/>
      <c r="E37" s="103" t="n"/>
      <c r="F37" s="103" t="n"/>
      <c r="G37" s="103" t="n"/>
    </row>
    <row r="38">
      <c r="A38" s="100" t="n"/>
      <c r="B38" s="103" t="n"/>
      <c r="C38" s="102" t="n"/>
      <c r="D38" s="103" t="n"/>
      <c r="E38" s="103" t="n"/>
      <c r="F38" s="103" t="n"/>
      <c r="G38" s="103" t="n"/>
    </row>
    <row r="39">
      <c r="A39" s="100" t="n"/>
      <c r="B39" s="103" t="n"/>
      <c r="C39" s="102" t="n"/>
      <c r="D39" s="103" t="n"/>
      <c r="E39" s="103" t="n"/>
      <c r="F39" s="103" t="n"/>
      <c r="G39" s="103" t="n"/>
    </row>
    <row r="40">
      <c r="A40" s="100" t="n"/>
      <c r="B40" s="103" t="n"/>
      <c r="C40" s="102" t="n"/>
      <c r="D40" s="103" t="n"/>
      <c r="E40" s="103" t="n"/>
      <c r="F40" s="103" t="n"/>
      <c r="G40" s="103" t="n"/>
    </row>
    <row r="41">
      <c r="A41" s="100" t="n"/>
      <c r="B41" s="103" t="n"/>
      <c r="C41" s="102" t="n"/>
      <c r="D41" s="103" t="n"/>
      <c r="E41" s="103" t="n"/>
      <c r="F41" s="103" t="n"/>
      <c r="G41" s="103" t="n"/>
    </row>
    <row r="42">
      <c r="A42" s="100" t="n"/>
      <c r="B42" s="103" t="n"/>
      <c r="C42" s="102" t="n"/>
      <c r="D42" s="103" t="n"/>
      <c r="E42" s="103" t="n"/>
      <c r="F42" s="103" t="n"/>
      <c r="G42" s="103" t="n"/>
    </row>
    <row r="43">
      <c r="A43" s="100" t="n"/>
      <c r="B43" s="103" t="n"/>
      <c r="C43" s="102" t="n"/>
      <c r="D43" s="103" t="n"/>
      <c r="E43" s="103" t="n"/>
      <c r="F43" s="103" t="n"/>
      <c r="G43" s="103" t="n"/>
    </row>
    <row r="44">
      <c r="A44" s="100" t="n"/>
      <c r="B44" s="103" t="n"/>
      <c r="C44" s="102" t="n"/>
      <c r="D44" s="103" t="n"/>
      <c r="E44" s="103" t="n"/>
      <c r="F44" s="103" t="n"/>
      <c r="G44" s="103" t="n"/>
    </row>
    <row r="45">
      <c r="A45" s="100" t="n"/>
      <c r="B45" s="103" t="n"/>
      <c r="C45" s="102" t="n"/>
      <c r="D45" s="103" t="n"/>
      <c r="E45" s="103" t="n"/>
      <c r="F45" s="103" t="n"/>
      <c r="G45" s="103" t="n"/>
    </row>
    <row r="46">
      <c r="A46" s="100" t="n"/>
      <c r="B46" s="103" t="n"/>
      <c r="C46" s="102" t="n"/>
      <c r="D46" s="103" t="n"/>
      <c r="E46" s="103" t="n"/>
      <c r="F46" s="103" t="n"/>
      <c r="G46" s="103" t="n"/>
    </row>
    <row r="47">
      <c r="A47" s="100" t="n"/>
      <c r="B47" s="103" t="n"/>
      <c r="C47" s="102" t="n"/>
      <c r="D47" s="103" t="n"/>
      <c r="E47" s="103" t="n"/>
      <c r="F47" s="103" t="n"/>
      <c r="G47" s="103" t="n"/>
    </row>
    <row r="48">
      <c r="A48" s="100" t="n"/>
      <c r="B48" s="103" t="n"/>
      <c r="C48" s="102" t="n"/>
      <c r="D48" s="103" t="n"/>
      <c r="E48" s="103" t="n"/>
      <c r="F48" s="103" t="n"/>
      <c r="G48" s="103" t="n"/>
    </row>
    <row r="49">
      <c r="A49" s="100" t="n"/>
      <c r="B49" s="103" t="n"/>
      <c r="C49" s="102" t="n"/>
      <c r="D49" s="103" t="n"/>
      <c r="E49" s="103" t="n"/>
      <c r="F49" s="103" t="n"/>
      <c r="G49" s="103" t="n"/>
    </row>
    <row r="50">
      <c r="A50" s="100" t="n"/>
      <c r="B50" s="103" t="n"/>
      <c r="C50" s="102" t="n"/>
      <c r="D50" s="103" t="n"/>
      <c r="E50" s="103" t="n"/>
      <c r="F50" s="103" t="n"/>
      <c r="G50" s="103" t="n"/>
    </row>
    <row r="51">
      <c r="A51" s="100" t="n"/>
      <c r="B51" s="103" t="n"/>
      <c r="C51" s="102" t="n"/>
      <c r="D51" s="103" t="n"/>
      <c r="E51" s="103" t="n"/>
      <c r="F51" s="103" t="n"/>
      <c r="G51" s="103" t="n"/>
    </row>
    <row r="52">
      <c r="A52" s="100" t="n"/>
      <c r="B52" s="103" t="n"/>
      <c r="C52" s="102" t="n"/>
      <c r="D52" s="103" t="n"/>
      <c r="E52" s="103" t="n"/>
      <c r="F52" s="103" t="n"/>
      <c r="G52" s="103" t="n"/>
    </row>
    <row r="53">
      <c r="A53" s="100" t="n"/>
      <c r="B53" s="103" t="n"/>
      <c r="C53" s="102" t="n"/>
      <c r="D53" s="103" t="n"/>
      <c r="E53" s="103" t="n"/>
      <c r="F53" s="103" t="n"/>
      <c r="G53" s="103" t="n"/>
    </row>
    <row r="54">
      <c r="A54" s="100" t="n"/>
      <c r="B54" s="103" t="n"/>
      <c r="C54" s="102" t="n"/>
      <c r="D54" s="103" t="n"/>
      <c r="E54" s="103" t="n"/>
      <c r="F54" s="103" t="n"/>
      <c r="G54" s="103" t="n"/>
    </row>
    <row r="55">
      <c r="A55" s="100" t="n"/>
      <c r="B55" s="103" t="n"/>
      <c r="C55" s="102" t="n"/>
      <c r="D55" s="103" t="n"/>
      <c r="E55" s="103" t="n"/>
      <c r="F55" s="103" t="n"/>
      <c r="G55" s="103" t="n"/>
    </row>
    <row r="56">
      <c r="A56" s="100" t="n"/>
      <c r="B56" s="103" t="n"/>
      <c r="C56" s="102" t="n"/>
      <c r="D56" s="103" t="n"/>
      <c r="E56" s="103" t="n"/>
      <c r="F56" s="103" t="n"/>
      <c r="G56" s="103" t="n"/>
    </row>
    <row r="57">
      <c r="A57" s="100" t="n"/>
      <c r="B57" s="103" t="n"/>
      <c r="C57" s="102" t="n"/>
      <c r="D57" s="103" t="n"/>
      <c r="E57" s="103" t="n"/>
      <c r="F57" s="103" t="n"/>
      <c r="G57" s="103" t="n"/>
    </row>
    <row r="58">
      <c r="A58" s="100" t="n"/>
      <c r="B58" s="103" t="n"/>
      <c r="C58" s="102" t="n"/>
      <c r="D58" s="103" t="n"/>
      <c r="E58" s="103" t="n"/>
      <c r="F58" s="103" t="n"/>
      <c r="G58" s="103" t="n"/>
    </row>
    <row r="59">
      <c r="A59" s="100" t="n"/>
      <c r="B59" s="103" t="n"/>
      <c r="C59" s="102" t="n"/>
      <c r="D59" s="103" t="n"/>
      <c r="E59" s="103" t="n"/>
      <c r="F59" s="103" t="n"/>
      <c r="G59" s="103" t="n"/>
    </row>
    <row r="60">
      <c r="A60" s="100" t="n"/>
      <c r="B60" s="103" t="n"/>
      <c r="C60" s="102" t="n"/>
      <c r="D60" s="103" t="n"/>
      <c r="E60" s="103" t="n"/>
      <c r="F60" s="103" t="n"/>
      <c r="G60" s="103" t="n"/>
    </row>
    <row r="61">
      <c r="A61" s="100" t="n"/>
      <c r="B61" s="103" t="n"/>
      <c r="C61" s="102" t="n"/>
      <c r="D61" s="103" t="n"/>
      <c r="E61" s="103" t="n"/>
      <c r="F61" s="103" t="n"/>
      <c r="G61" s="103" t="n"/>
    </row>
    <row r="62">
      <c r="A62" s="100" t="n"/>
      <c r="B62" s="103" t="n"/>
      <c r="C62" s="102" t="n"/>
      <c r="D62" s="103" t="n"/>
      <c r="E62" s="103" t="n"/>
      <c r="F62" s="103" t="n"/>
      <c r="G62" s="103" t="n"/>
    </row>
    <row r="63">
      <c r="A63" s="100" t="n"/>
      <c r="B63" s="103" t="n"/>
      <c r="C63" s="102" t="n"/>
      <c r="D63" s="103" t="n"/>
      <c r="E63" s="103" t="n"/>
      <c r="F63" s="103" t="n"/>
      <c r="G63" s="103" t="n"/>
    </row>
    <row r="64">
      <c r="A64" s="100" t="n"/>
      <c r="B64" s="103" t="n"/>
      <c r="C64" s="102" t="n"/>
      <c r="D64" s="103" t="n"/>
      <c r="E64" s="103" t="n"/>
      <c r="F64" s="103" t="n"/>
      <c r="G64" s="103" t="n"/>
    </row>
    <row r="65">
      <c r="A65" s="100" t="n"/>
      <c r="B65" s="103" t="n"/>
      <c r="C65" s="102" t="n"/>
      <c r="D65" s="103" t="n"/>
      <c r="E65" s="103" t="n"/>
      <c r="F65" s="103" t="n"/>
      <c r="G65" s="103" t="n"/>
    </row>
    <row r="66">
      <c r="A66" s="93" t="n"/>
      <c r="B66" s="93" t="inlineStr">
        <is>
          <t>TOTAL LOGGED TRAVEL</t>
        </is>
      </c>
      <c r="C66" s="94">
        <f>SUM(C36:C65)</f>
        <v/>
      </c>
      <c r="D66" s="104">
        <f>SUM(D36:D65)</f>
        <v/>
      </c>
      <c r="E66" s="93" t="n"/>
      <c r="F66" s="93" t="n"/>
      <c r="G66" s="93" t="n"/>
    </row>
    <row r="67">
      <c r="B67" s="105" t="inlineStr">
        <is>
          <t>Travel spending on Operating Costs (auto)</t>
        </is>
      </c>
      <c r="C67" s="91">
        <f>SUMIFS('Operating Costs'!$E$13:$E$212,'Operating Costs'!$C$13:$C$212,"Travel",'Operating Costs'!$H$13:$H$212,"&lt;&gt;No (personal)")-SUMIFS('Operating Costs'!$E$13:$E$212,'Operating Costs'!$C$13:$C$212,"Travel",'Operating Costs'!$H$13:$H$212,"Partial - ask CPA")</f>
        <v/>
      </c>
      <c r="E67" s="92" t="inlineStr">
        <is>
          <t>These two should match. If logged travel is lower, you have trips with no written purpose.</t>
        </is>
      </c>
    </row>
    <row r="68">
      <c r="B68" s="105" t="inlineStr">
        <is>
          <t>UNDOCUMENTED TRAVEL (auto)</t>
        </is>
      </c>
      <c r="C68" s="102">
        <f>C67-C66</f>
        <v/>
      </c>
    </row>
    <row r="69">
      <c r="B69" s="92" t="inlineStr">
        <is>
          <t>Mileage instead of tickets: if you drive your own car for business you can deduct a set rate per mile (the IRS</t>
        </is>
      </c>
    </row>
    <row r="70">
      <c r="B70" s="92" t="inlineStr">
        <is>
          <t>publishes it each year) INSTEAD of gas — but only with a mileage log. That is what the Miles Driven column is for.</t>
        </is>
      </c>
    </row>
    <row r="71">
      <c r="B71" s="92" t="inlineStr">
        <is>
          <t>Commuting from home to your usual workspace is NEVER deductible. Driving to a supplier, event or client is.</t>
        </is>
      </c>
    </row>
    <row r="73" ht="20" customHeight="1" s="69">
      <c r="A73" s="76" t="inlineStr">
        <is>
          <t>3. EQUIPMENT &amp; STARTUP COSTS — these are NOT ordinary write-offs</t>
        </is>
      </c>
    </row>
    <row r="74">
      <c r="A74" s="90" t="inlineStr">
        <is>
          <t>Capital purchases so far (auto)</t>
        </is>
      </c>
      <c r="C74" s="91">
        <f>Capital!$G$64</f>
        <v/>
      </c>
      <c r="E74" s="92" t="inlineStr">
        <is>
          <t>Equipment is normally written off over several years (depreciation), or all at once via Section 179 / bonus depreciation. Your accountant picks.</t>
        </is>
      </c>
    </row>
    <row r="75">
      <c r="A75" s="90" t="inlineStr">
        <is>
          <t>Legal &amp; filing costs (auto)</t>
        </is>
      </c>
      <c r="C75" s="91">
        <f>SUMIFS(Capital!$G$14:$G$63,Capital!$C$14:$C$63,"Legal &amp; Filing")</f>
        <v/>
      </c>
      <c r="E75" s="92" t="inlineStr">
        <is>
          <t>LLC filing + trademark are startup costs. Up to $5,000 of startup costs can usually be deducted in year one; the rest is spread out.</t>
        </is>
      </c>
    </row>
    <row r="77" ht="20" customHeight="1" s="69">
      <c r="A77" s="76" t="inlineStr">
        <is>
          <t>4. INCOME THAT WILL BE TAXED — money in is not all free money</t>
        </is>
      </c>
    </row>
    <row r="78">
      <c r="A78" s="90" t="inlineStr">
        <is>
          <t>Sales revenue, net (auto)</t>
        </is>
      </c>
      <c r="C78" s="91">
        <f>'Sales Log'!$L$314</f>
        <v/>
      </c>
      <c r="E78" s="92" t="inlineStr">
        <is>
          <t>Every sale you make is taxable income</t>
        </is>
      </c>
    </row>
    <row r="79">
      <c r="A79" s="90" t="inlineStr">
        <is>
          <t>Kickstarter money actually received (auto)</t>
        </is>
      </c>
      <c r="C79" s="91">
        <f>SUMIFS(Funding!$G$14:$G$308,Funding!$B$14:$B$308,"Kickstarter Pledge",Funding!$H$14:$H$308,"Yes")</f>
        <v/>
      </c>
      <c r="E79" s="92" t="inlineStr">
        <is>
          <t>Reward-based crowdfunding is normally TAXABLE income in the year it is paid out — it is pre-selling product, not a gift</t>
        </is>
      </c>
    </row>
    <row r="80">
      <c r="A80" s="90" t="inlineStr">
        <is>
          <t>Grants received (auto)</t>
        </is>
      </c>
      <c r="C80" s="91">
        <f>SUMIFS(Funding!$G$14:$G$308,Funding!$B$14:$B$308,"Grant")</f>
        <v/>
      </c>
      <c r="E80" s="92" t="inlineStr">
        <is>
          <t>Business grants are usually taxable too — ask about the IVC grant specifically</t>
        </is>
      </c>
    </row>
    <row r="81">
      <c r="A81" s="90" t="inlineStr">
        <is>
          <t>Cost of goods sold (auto, Schedule C Part III)</t>
        </is>
      </c>
      <c r="C81" s="91">
        <f>COGS!$I$29</f>
        <v/>
      </c>
      <c r="E81" s="92" t="inlineStr">
        <is>
          <t>Subtracts from income once you fill in per-pair costs on the COGS tab</t>
        </is>
      </c>
    </row>
    <row r="82">
      <c r="A82" s="90" t="inlineStr">
        <is>
          <t>Your own money put in (auto — NOT income)</t>
        </is>
      </c>
      <c r="C82" s="91">
        <f>SUMIFS(Funding!$G$14:$G$308,Funding!$B$14:$B$308,"Personal Money In")</f>
        <v/>
      </c>
      <c r="E82" s="92" t="inlineStr">
        <is>
          <t>Money you move from your own pocket is an owner contribution, never taxable income</t>
        </is>
      </c>
    </row>
    <row r="84" ht="20" customHeight="1" s="69">
      <c r="A84" s="76" t="inlineStr">
        <is>
          <t>5. KEEP THESE RECORDS — a bank line alone is not proof</t>
        </is>
      </c>
    </row>
    <row r="85">
      <c r="A85" s="105" t="inlineStr">
        <is>
          <t>•</t>
        </is>
      </c>
      <c r="B85" s="106" t="inlineStr">
        <is>
          <t>Save every receipt and invoice. A photo in a dated folder is fine. Keep them ~7 years.</t>
        </is>
      </c>
    </row>
    <row r="86">
      <c r="A86" s="105" t="inlineStr">
        <is>
          <t>•</t>
        </is>
      </c>
      <c r="B86" s="106" t="inlineStr">
        <is>
          <t>Big-ticket items especially: the $1,500 Drake Media charge and the $476.85 Amtrak trip need an invoice and a written purpose.</t>
        </is>
      </c>
    </row>
    <row r="87">
      <c r="A87" s="105" t="inlineStr">
        <is>
          <t>•</t>
        </is>
      </c>
      <c r="B87" s="106" t="inlineStr">
        <is>
          <t>Anything bought partly for personal use — split it, and only claim the business share.</t>
        </is>
      </c>
    </row>
    <row r="88">
      <c r="A88" s="105" t="inlineStr">
        <is>
          <t>•</t>
        </is>
      </c>
      <c r="B88" s="106" t="inlineStr">
        <is>
          <t>If BOYNT nets $400 or more in profit, self-employment tax applies on top of income tax.</t>
        </is>
      </c>
    </row>
    <row r="89">
      <c r="A89" s="105" t="inlineStr">
        <is>
          <t>•</t>
        </is>
      </c>
      <c r="B89" s="106" t="inlineStr">
        <is>
          <t>If you expect to owe $1,000+ for the year, quarterly estimated payments are usually required — ask before the first deadline you'd miss.</t>
        </is>
      </c>
    </row>
    <row r="90">
      <c r="A90" s="105" t="inlineStr">
        <is>
          <t>•</t>
        </is>
      </c>
      <c r="B90" s="106" t="inlineStr">
        <is>
          <t>Keep business and personal money separate. You are already doing this well with the BOYNT account — keep it up.</t>
        </is>
      </c>
    </row>
    <row r="92">
      <c r="A92" s="107" t="inlineStr">
        <is>
          <t>This tab keeps you organized and audit-ready. It is not tax advice — have a tax professional confirm your treatment before filing.</t>
        </is>
      </c>
    </row>
  </sheetData>
  <mergeCells count="8">
    <mergeCell ref="A84:G84"/>
    <mergeCell ref="A1:G1"/>
    <mergeCell ref="A18:G18"/>
    <mergeCell ref="A77:G77"/>
    <mergeCell ref="A34:G34"/>
    <mergeCell ref="A92:G92"/>
    <mergeCell ref="A2:G2"/>
    <mergeCell ref="A73:G73"/>
  </mergeCells>
  <conditionalFormatting sqref="A36:G65">
    <cfRule type="expression" priority="1" dxfId="39">
      <formula>MOD(ROW(),2)=0</formula>
    </cfRule>
  </conditionalFormatting>
  <conditionalFormatting sqref="C68">
    <cfRule type="expression" priority="2" dxfId="40">
      <formula>ABS(C68)&lt;0.01</formula>
    </cfRule>
    <cfRule type="expression" priority="3" dxfId="41">
      <formula>ABS(C68)&gt;=0.01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2026-07-02T14:38:17Z</dcterms:created>
  <dcterms:modified xsi:type="dcterms:W3CDTF">2026-08-27T15:58:16Z</dcterms:modified>
  <cp:lastModifiedBy>Zachary Brisson</cp:lastModifiedBy>
</cp:coreProperties>
</file>