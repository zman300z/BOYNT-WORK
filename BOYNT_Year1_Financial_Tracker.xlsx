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Products &amp; Pricing" sheetId="3" state="visible" r:id="rId3"/>
    <sheet name="COGS" sheetId="4" state="visible" r:id="rId4"/>
    <sheet name="Capital" sheetId="5" state="visible" r:id="rId5"/>
    <sheet name="Operating Costs" sheetId="6" state="visible" r:id="rId6"/>
    <sheet name="Funding" sheetId="7" state="visible" r:id="rId7"/>
    <sheet name="Sales Log" sheetId="8" state="visible" r:id="rId8"/>
    <sheet name="Orders" sheetId="9" state="visible" r:id="rId9"/>
    <sheet name="Monthly Cash F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0.0%"/>
    <numFmt numFmtId="166" formatCode="&quot;$&quot;#,##0"/>
    <numFmt numFmtId="167" formatCode="mm/dd/yyyy"/>
    <numFmt numFmtId="168" formatCode="yyyy-mm-dd"/>
    <numFmt numFmtId="169" formatCode="mmm yyyy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b val="1"/>
      <color rgb="001F3B57"/>
      <sz val="11"/>
    </font>
    <font>
      <b val="1"/>
      <color rgb="001F3B57"/>
      <sz val="10"/>
    </font>
    <font>
      <sz val="10"/>
    </font>
    <font>
      <name val="Calibri"/>
      <b val="1"/>
      <color rgb="00FFFFFF"/>
      <sz val="10"/>
    </font>
    <font>
      <b val="1"/>
      <color rgb="00006100"/>
    </font>
    <font>
      <b val="1"/>
      <color rgb="009C0006"/>
    </font>
    <font>
      <name val="Calibri"/>
      <b val="1"/>
      <color rgb="006B5B1E"/>
      <sz val="10"/>
    </font>
    <font>
      <name val="Calibri"/>
      <color rgb="006B5B1E"/>
      <sz val="10"/>
    </font>
    <font>
      <name val="Calibri"/>
      <b val="1"/>
      <color rgb="001F3B57"/>
      <sz val="13"/>
    </font>
    <font>
      <b val="1"/>
      <color rgb="001F3B57"/>
    </font>
    <font>
      <b val="1"/>
      <color rgb="009C6500"/>
    </font>
    <font>
      <color rgb="001F3B57"/>
      <sz val="11"/>
    </font>
    <font>
      <b val="1"/>
      <color rgb="001F3B57"/>
      <sz val="11"/>
    </font>
    <font>
      <b val="1"/>
      <color rgb="001F3B57"/>
      <sz val="13"/>
    </font>
    <font>
      <i val="1"/>
      <color rgb="007F7F7F"/>
      <sz val="9"/>
    </font>
  </fonts>
  <fills count="10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2E7D8C"/>
      </patternFill>
    </fill>
    <fill>
      <patternFill patternType="solid">
        <fgColor rgb="00FFF6E0"/>
      </patternFill>
    </fill>
    <fill>
      <patternFill patternType="solid">
        <fgColor rgb="00DCEEF3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7E6E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7C4CC"/>
      </left>
      <right style="thin">
        <color rgb="00B7C4CC"/>
      </right>
      <top style="thin">
        <color rgb="00B7C4CC"/>
      </top>
      <bottom style="thin">
        <color rgb="00B7C4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4" borderId="0" pivotButton="0" quotePrefix="0" xfId="0"/>
    <xf numFmtId="0" fontId="7" fillId="3" borderId="0" pivotButton="0" quotePrefix="0" xfId="0"/>
    <xf numFmtId="0" fontId="0" fillId="5" borderId="0" pivotButton="0" quotePrefix="0" xfId="0"/>
    <xf numFmtId="0" fontId="0" fillId="0" borderId="1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4" borderId="0" pivotButton="0" quotePrefix="0" xfId="0"/>
    <xf numFmtId="0" fontId="11" fillId="4" borderId="0" pivotButton="0" quotePrefix="0" xfId="0"/>
    <xf numFmtId="0" fontId="15" fillId="0" borderId="0" pivotButton="0" quotePrefix="0" xfId="0"/>
    <xf numFmtId="166" fontId="16" fillId="5" borderId="1" pivotButton="0" quotePrefix="0" xfId="0"/>
    <xf numFmtId="0" fontId="12" fillId="0" borderId="0" pivotButton="0" quotePrefix="0" xfId="0"/>
    <xf numFmtId="166" fontId="17" fillId="5" borderId="1" pivotButton="0" quotePrefix="0" xfId="0"/>
    <xf numFmtId="166" fontId="17" fillId="0" borderId="1" pivotButton="0" quotePrefix="0" xfId="0"/>
    <xf numFmtId="165" fontId="16" fillId="5" borderId="1" pivotButton="0" quotePrefix="0" xfId="0"/>
    <xf numFmtId="0" fontId="18" fillId="0" borderId="0" pivotButton="0" quotePrefix="0" xfId="0"/>
    <xf numFmtId="3" fontId="16" fillId="5" borderId="1" pivotButton="0" quotePrefix="0" xfId="0"/>
    <xf numFmtId="9" fontId="16" fillId="5" borderId="1" pivotButton="0" quotePrefix="0" xfId="0"/>
    <xf numFmtId="0" fontId="7" fillId="3" borderId="1" applyAlignment="1" pivotButton="0" quotePrefix="0" xfId="0">
      <alignment horizontal="center" vertical="center" wrapText="1"/>
    </xf>
    <xf numFmtId="164" fontId="0" fillId="0" borderId="1" pivotButton="0" quotePrefix="0" xfId="0"/>
    <xf numFmtId="164" fontId="0" fillId="5" borderId="1" pivotButton="0" quotePrefix="0" xfId="0"/>
    <xf numFmtId="165" fontId="0" fillId="5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13" fillId="8" borderId="1" pivotButton="0" quotePrefix="0" xfId="0"/>
    <xf numFmtId="3" fontId="13" fillId="8" borderId="1" pivotButton="0" quotePrefix="0" xfId="0"/>
    <xf numFmtId="164" fontId="13" fillId="8" borderId="1" pivotButton="0" quotePrefix="0" xfId="0"/>
    <xf numFmtId="166" fontId="14" fillId="9" borderId="0" pivotButton="0" quotePrefix="0" xfId="0"/>
    <xf numFmtId="166" fontId="13" fillId="5" borderId="0" pivotButton="0" quotePrefix="0" xfId="0"/>
    <xf numFmtId="0" fontId="0" fillId="5" borderId="1" applyAlignment="1" pivotButton="0" quotePrefix="0" xfId="0">
      <alignment horizontal="center"/>
    </xf>
    <xf numFmtId="167" fontId="0" fillId="0" borderId="1" pivotButton="0" quotePrefix="0" xfId="0"/>
    <xf numFmtId="0" fontId="6" fillId="0" borderId="1" pivotButton="0" quotePrefix="0" xfId="0"/>
    <xf numFmtId="166" fontId="0" fillId="5" borderId="1" pivotButton="0" quotePrefix="0" xfId="0"/>
    <xf numFmtId="166" fontId="0" fillId="0" borderId="1" pivotButton="0" quotePrefix="0" xfId="0"/>
    <xf numFmtId="9" fontId="13" fillId="5" borderId="0" pivotButton="0" quotePrefix="0" xfId="0"/>
    <xf numFmtId="3" fontId="0" fillId="0" borderId="1" pivotButton="0" quotePrefix="0" xfId="0"/>
    <xf numFmtId="0" fontId="13" fillId="5" borderId="0" pivotButton="0" quotePrefix="0" xfId="0"/>
    <xf numFmtId="169" fontId="0" fillId="0" borderId="1" pivotButton="0" quotePrefix="0" xfId="0"/>
    <xf numFmtId="166" fontId="13" fillId="8" borderId="1" pivotButton="0" quotePrefix="0" xfId="0"/>
  </cellXfs>
  <cellStyles count="1">
    <cellStyle name="Normal" xfId="0" builtinId="0" hidden="0"/>
  </cellStyles>
  <dxfs count="10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2F8FA"/>
        </patternFill>
      </fill>
    </dxf>
    <dxf>
      <font>
        <color rgb="00444444"/>
      </font>
      <fill>
        <patternFill patternType="solid">
          <fgColor rgb="00E7E6E6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74706"/>
      </font>
      <fill>
        <patternFill patternType="solid">
          <fgColor rgb="00FCE4D6"/>
        </patternFill>
      </fill>
    </dxf>
    <dxf>
      <font>
        <color rgb="001F4E78"/>
      </font>
      <fill>
        <patternFill patternType="solid">
          <fgColor rgb="00DDEBF7"/>
        </patternFill>
      </fill>
    </dxf>
    <dxf>
      <font>
        <color rgb="001F4E78"/>
      </font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B57"/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>BOYNT — Year 1 Financial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Floating sunglasses, funded by you and your backers. This page explains how the whole workbook fits together.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5" ht="20" customHeight="1">
      <c r="A5" s="4" t="inlineStr">
        <is>
          <t>HOW THE WORKBOOK IS ORGANIZED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7">
      <c r="B7" s="6" t="inlineStr">
        <is>
          <t>Money coming IN is tracked on two tabs:</t>
        </is>
      </c>
    </row>
    <row r="8">
      <c r="B8" s="7" t="inlineStr">
        <is>
          <t>Funding</t>
        </is>
      </c>
      <c r="C8" s="8" t="inlineStr">
        <is>
          <t>Every dollar you raise before/while starting up: Kickstarter pledges, donations, your own money, loans.</t>
        </is>
      </c>
    </row>
    <row r="9">
      <c r="B9" s="7" t="inlineStr">
        <is>
          <t>Sales Log</t>
        </is>
      </c>
      <c r="C9" s="8" t="inlineStr">
        <is>
          <t>Every dollar customers pay you for sunglasses. One row per product per order.</t>
        </is>
      </c>
    </row>
    <row r="11">
      <c r="B11" s="6" t="inlineStr">
        <is>
          <t>Money going OUT is tracked on two tabs:</t>
        </is>
      </c>
    </row>
    <row r="12">
      <c r="B12" s="7" t="inlineStr">
        <is>
          <t>Capital</t>
        </is>
      </c>
      <c r="C12" s="8" t="inlineStr">
        <is>
          <t>One-time startup equipment: 3D printer, injection molder, tools, LLC filing. Things you buy ONCE.</t>
        </is>
      </c>
    </row>
    <row r="13">
      <c r="B13" s="7" t="inlineStr">
        <is>
          <t>Operating Costs</t>
        </is>
      </c>
      <c r="C13" s="8" t="inlineStr">
        <is>
          <t>Everything you keep paying for: materials, packaging, insurance, website, marketing, fees.</t>
        </is>
      </c>
    </row>
    <row r="15">
      <c r="B15" s="6" t="inlineStr">
        <is>
          <t>Reference &amp; planning tabs:</t>
        </is>
      </c>
    </row>
    <row r="16">
      <c r="B16" s="7" t="inlineStr">
        <is>
          <t>Products &amp; Pricing</t>
        </is>
      </c>
      <c r="C16" s="8" t="inlineStr">
        <is>
          <t>Your official price list. Every dropdown in the workbook pulls from this tab.</t>
        </is>
      </c>
    </row>
    <row r="17">
      <c r="B17" s="7" t="inlineStr">
        <is>
          <t>COGS</t>
        </is>
      </c>
      <c r="C17" s="8" t="inlineStr">
        <is>
          <t>What ONE pair of each model costs you to make. Auto-calculates your true profit per pair.</t>
        </is>
      </c>
    </row>
    <row r="18">
      <c r="B18" s="7" t="inlineStr">
        <is>
          <t>Orders</t>
        </is>
      </c>
      <c r="C18" s="8" t="inlineStr">
        <is>
          <t>Who ordered what, where it ships, and whether you have fulfilled it yet.</t>
        </is>
      </c>
    </row>
    <row r="20">
      <c r="B20" s="6" t="inlineStr">
        <is>
          <t>Summary tabs (all-formula, you never type on these):</t>
        </is>
      </c>
    </row>
    <row r="21">
      <c r="B21" s="7" t="inlineStr">
        <is>
          <t>Dashboard</t>
        </is>
      </c>
      <c r="C21" s="8" t="inlineStr">
        <is>
          <t>The big picture: total in, total out, cash position, profit, order stats. Green = healthy, red = in the hole.</t>
        </is>
      </c>
    </row>
    <row r="22">
      <c r="B22" s="7" t="inlineStr">
        <is>
          <t>Monthly Cash Flow</t>
        </is>
      </c>
      <c r="C22" s="8" t="inlineStr">
        <is>
          <t>Month-by-month money in vs. out with a running cash balance.</t>
        </is>
      </c>
    </row>
    <row r="24" ht="20" customHeight="1">
      <c r="A24" s="4" t="inlineStr">
        <is>
          <t>COLOR KEY (used on every tab)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6">
      <c r="B26" s="9" t="inlineStr">
        <is>
          <t>Instructions</t>
        </is>
      </c>
      <c r="C26" s="8" t="inlineStr">
        <is>
          <t>Instruction blocks — read these, never type over them.</t>
        </is>
      </c>
    </row>
    <row r="27">
      <c r="B27" s="10" t="inlineStr">
        <is>
          <t>Headers</t>
        </is>
      </c>
      <c r="C27" s="8" t="inlineStr">
        <is>
          <t>Column headers.</t>
        </is>
      </c>
    </row>
    <row r="28">
      <c r="B28" s="11" t="inlineStr">
        <is>
          <t>Auto-calculated</t>
        </is>
      </c>
      <c r="C28" s="8" t="inlineStr">
        <is>
          <t>Calculated cells — formulas live here. Don't type in them; they fill in automatically.</t>
        </is>
      </c>
    </row>
    <row r="29">
      <c r="B29" s="12" t="inlineStr">
        <is>
          <t>Your input</t>
        </is>
      </c>
      <c r="C29" s="8" t="inlineStr">
        <is>
          <t>Input cells — this is where YOU type.</t>
        </is>
      </c>
    </row>
    <row r="30">
      <c r="B30" s="13" t="inlineStr">
        <is>
          <t>Positive</t>
        </is>
      </c>
      <c r="C30" s="8" t="inlineStr">
        <is>
          <t>Automatic: shown when money in ≥ money out (you're ahead).</t>
        </is>
      </c>
    </row>
    <row r="31">
      <c r="B31" s="14" t="inlineStr">
        <is>
          <t>Negative</t>
        </is>
      </c>
      <c r="C31" s="8" t="inlineStr">
        <is>
          <t>Automatic: shown when money out &gt; money in (you're in the hole).</t>
        </is>
      </c>
    </row>
    <row r="33" ht="20" customHeight="1">
      <c r="A33" s="4" t="inlineStr">
        <is>
          <t>YOUR WEEKLY ROUTINE (10 minutes)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5">
      <c r="B35" s="7" t="inlineStr">
        <is>
          <t>1.</t>
        </is>
      </c>
      <c r="C35" s="8" t="inlineStr">
        <is>
          <t>New pledge or donation came in?  →  Add a row on Funding.</t>
        </is>
      </c>
    </row>
    <row r="36">
      <c r="B36" s="7" t="inlineStr">
        <is>
          <t>2.</t>
        </is>
      </c>
      <c r="C36" s="8" t="inlineStr">
        <is>
          <t>Made a sale?  →  Add a row on Sales Log AND a row on Orders (same Order #).</t>
        </is>
      </c>
    </row>
    <row r="37">
      <c r="B37" s="7" t="inlineStr">
        <is>
          <t>3.</t>
        </is>
      </c>
      <c r="C37" s="8" t="inlineStr">
        <is>
          <t>Shipped something?  →  On Orders, fill Date Shipped + Tracking #, set Status, flip Fulfilled? to Yes.</t>
        </is>
      </c>
    </row>
    <row r="38">
      <c r="B38" s="7" t="inlineStr">
        <is>
          <t>4.</t>
        </is>
      </c>
      <c r="C38" s="8" t="inlineStr">
        <is>
          <t>Bought anything?  →  Equipment goes on Capital; everything else goes on Operating Costs.</t>
        </is>
      </c>
    </row>
    <row r="39">
      <c r="B39" s="7" t="inlineStr">
        <is>
          <t>5.</t>
        </is>
      </c>
      <c r="C39" s="8" t="inlineStr">
        <is>
          <t>Glance at Dashboard and Monthly Cash Flow. If numbers are red, you're spending faster than you're earning.</t>
        </is>
      </c>
    </row>
    <row r="41" ht="20" customHeight="1">
      <c r="A41" s="4" t="inlineStr">
        <is>
          <t>TIPS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3">
      <c r="B43" s="7" t="inlineStr">
        <is>
          <t>•</t>
        </is>
      </c>
      <c r="C43" s="8" t="inlineStr">
        <is>
          <t>Kickstarter keeps ~5% + ~3-5% payment processing. Enter the FEE in the Fees column on Funding so your net is accurate.</t>
        </is>
      </c>
    </row>
    <row r="44">
      <c r="B44" s="7" t="inlineStr">
        <is>
          <t>•</t>
        </is>
      </c>
      <c r="C44" s="8" t="inlineStr">
        <is>
          <t>Always use the product names from Products &amp; Pricing (the dropdowns do this for you) — the formulas match on exact names.</t>
        </is>
      </c>
    </row>
    <row r="45">
      <c r="B45" s="7" t="inlineStr">
        <is>
          <t>•</t>
        </is>
      </c>
      <c r="C45" s="8" t="inlineStr">
        <is>
          <t>Enter dates on everything. The Monthly Cash Flow tab sorts your money into months using those dates.</t>
        </is>
      </c>
    </row>
    <row r="46">
      <c r="B46" s="7" t="inlineStr">
        <is>
          <t>•</t>
        </is>
      </c>
      <c r="C46" s="8" t="inlineStr">
        <is>
          <t>Save a copy before big edits. If a blue formula cell gets deleted, copy it down from the row above.</t>
        </is>
      </c>
    </row>
  </sheetData>
  <mergeCells count="6">
    <mergeCell ref="A1:J1"/>
    <mergeCell ref="A5:J5"/>
    <mergeCell ref="A24:J24"/>
    <mergeCell ref="A2:J2"/>
    <mergeCell ref="A41:J41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869E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4" customWidth="1" min="4" max="4"/>
    <col width="36" customWidth="1" min="5" max="5"/>
    <col width="16" customWidth="1" min="6" max="6"/>
  </cols>
  <sheetData>
    <row r="1" ht="26" customHeight="1">
      <c r="A1" s="1" t="inlineStr">
        <is>
          <t>Dashboard — BOYNT Year 1 at a Glance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All-formula summary. Green means you're ahead; red means you're in the hole. Never type on this tab.</t>
        </is>
      </c>
      <c r="B2" s="2" t="n"/>
      <c r="C2" s="2" t="n"/>
      <c r="D2" s="2" t="n"/>
      <c r="E2" s="2" t="n"/>
      <c r="F2" s="2" t="n"/>
    </row>
    <row r="4" ht="14" customHeight="1">
      <c r="A4" s="15" t="inlineStr">
        <is>
          <t>WHAT THIS TAB IS FOR:  the 30-second health check. Every number pulls live from the other tabs the moment you</t>
        </is>
      </c>
      <c r="B4" s="9" t="n"/>
      <c r="C4" s="9" t="n"/>
      <c r="D4" s="9" t="n"/>
      <c r="E4" s="9" t="n"/>
      <c r="F4" s="9" t="n"/>
    </row>
    <row r="5" ht="14" customHeight="1">
      <c r="A5" s="16" t="inlineStr">
        <is>
          <t>log something. CASH VIEW = actual dollars in vs. out (includes funding &amp; equipment). PROFIT VIEW = is the</t>
        </is>
      </c>
      <c r="B5" s="9" t="n"/>
      <c r="C5" s="9" t="n"/>
      <c r="D5" s="9" t="n"/>
      <c r="E5" s="9" t="n"/>
      <c r="F5" s="9" t="n"/>
    </row>
    <row r="6" ht="14" customHeight="1">
      <c r="A6" s="16" t="inlineStr">
        <is>
          <t>business itself making money on the glasses it sells (sales minus what they cost to make and run)?</t>
        </is>
      </c>
      <c r="B6" s="9" t="n"/>
      <c r="C6" s="9" t="n"/>
      <c r="D6" s="9" t="n"/>
      <c r="E6" s="9" t="n"/>
      <c r="F6" s="9" t="n"/>
    </row>
    <row r="8">
      <c r="B8" s="4" t="inlineStr">
        <is>
          <t>CASH VIEW — money in vs. money out</t>
        </is>
      </c>
      <c r="C8" s="5" t="n"/>
      <c r="E8" s="4" t="inlineStr">
        <is>
          <t>PROFIT VIEW — is the business itself profitable?</t>
        </is>
      </c>
      <c r="F8" s="5" t="n"/>
    </row>
    <row r="9">
      <c r="B9" s="17" t="inlineStr">
        <is>
          <t>Funding raised (net of fees)</t>
        </is>
      </c>
      <c r="C9" s="18">
        <f>Funding!$G$314</f>
        <v/>
      </c>
      <c r="E9" s="17" t="inlineStr">
        <is>
          <t>Sales revenue (net)</t>
        </is>
      </c>
      <c r="F9" s="18">
        <f>'Sales Log'!$L$314</f>
        <v/>
      </c>
    </row>
    <row r="10">
      <c r="B10" s="17" t="inlineStr">
        <is>
          <t>Sales revenue (net)</t>
        </is>
      </c>
      <c r="C10" s="18">
        <f>'Sales Log'!$L$314</f>
        <v/>
      </c>
      <c r="E10" s="17" t="inlineStr">
        <is>
          <t>Cost of goods sold (per-pair × units)</t>
        </is>
      </c>
      <c r="F10" s="18">
        <f>COGS!$I$29</f>
        <v/>
      </c>
    </row>
    <row r="11">
      <c r="B11" s="19" t="inlineStr">
        <is>
          <t>TOTAL MONEY IN</t>
        </is>
      </c>
      <c r="C11" s="20">
        <f>C9+C10</f>
        <v/>
      </c>
      <c r="E11" s="19" t="inlineStr">
        <is>
          <t>GROSS PROFIT</t>
        </is>
      </c>
      <c r="F11" s="21">
        <f>F9-F10</f>
        <v/>
      </c>
    </row>
    <row r="13">
      <c r="B13" s="17" t="inlineStr">
        <is>
          <t>Capital equipment spent</t>
        </is>
      </c>
      <c r="C13" s="18">
        <f>SUMIFS(Capital!$G$14:$G$63,Capital!$E$14:$E$63,"&gt;0")</f>
        <v/>
      </c>
      <c r="E13" s="17" t="inlineStr">
        <is>
          <t>Operating costs (excl. materials)*</t>
        </is>
      </c>
      <c r="F13" s="18">
        <f>'Operating Costs'!$E$213-SUMIFS('Operating Costs'!$E$13:$E$212,'Operating Costs'!$C$13:$C$212,"Materials &amp; Product Supplies")</f>
        <v/>
      </c>
    </row>
    <row r="14">
      <c r="B14" s="17" t="inlineStr">
        <is>
          <t>Operating costs paid</t>
        </is>
      </c>
      <c r="C14" s="18">
        <f>'Operating Costs'!$E$213</f>
        <v/>
      </c>
      <c r="E14" s="19" t="inlineStr">
        <is>
          <t>EST. NET PROFIT</t>
        </is>
      </c>
      <c r="F14" s="21">
        <f>F11-F13</f>
        <v/>
      </c>
    </row>
    <row r="15">
      <c r="B15" s="19" t="inlineStr">
        <is>
          <t>TOTAL MONEY OUT</t>
        </is>
      </c>
      <c r="C15" s="20">
        <f>C13+C14</f>
        <v/>
      </c>
      <c r="E15" s="17" t="inlineStr">
        <is>
          <t>Profit margin</t>
        </is>
      </c>
      <c r="F15" s="22">
        <f>IF(N(F9)=0,"",F14/F9)</f>
        <v/>
      </c>
    </row>
    <row r="16">
      <c r="E16" s="23" t="inlineStr">
        <is>
          <t>*Materials are excluded here because they're already</t>
        </is>
      </c>
    </row>
    <row r="17">
      <c r="B17" s="19" t="inlineStr">
        <is>
          <t>CASH POSITION (In − Out)</t>
        </is>
      </c>
      <c r="C17" s="21">
        <f>C11-C15</f>
        <v/>
      </c>
      <c r="E17" s="23" t="inlineStr">
        <is>
          <t xml:space="preserve">  counted per-pair inside COGS — no double counting.</t>
        </is>
      </c>
    </row>
    <row r="18">
      <c r="B18" s="23" t="inlineStr">
        <is>
          <t>Green = you have more than you've spent. Red = you're in debt.</t>
        </is>
      </c>
    </row>
    <row r="20">
      <c r="B20" s="4" t="inlineStr">
        <is>
          <t>ORDERS &amp; FULFILLMENT</t>
        </is>
      </c>
      <c r="C20" s="5" t="n"/>
      <c r="E20" s="4" t="inlineStr">
        <is>
          <t>FUNDING BREAKDOWN</t>
        </is>
      </c>
      <c r="F20" s="5" t="n"/>
    </row>
    <row r="21">
      <c r="B21" s="17" t="inlineStr">
        <is>
          <t>Orders received</t>
        </is>
      </c>
      <c r="C21" s="24">
        <f>Orders!$C$13</f>
        <v/>
      </c>
      <c r="E21" s="17" t="inlineStr">
        <is>
          <t>Kickstarter raised (net)</t>
        </is>
      </c>
      <c r="F21" s="18">
        <f>Funding!D11</f>
        <v/>
      </c>
    </row>
    <row r="22">
      <c r="B22" s="17" t="inlineStr">
        <is>
          <t>Orders fulfilled</t>
        </is>
      </c>
      <c r="C22" s="24">
        <f>Orders!$E$13</f>
        <v/>
      </c>
      <c r="E22" s="17" t="inlineStr">
        <is>
          <t>Donations</t>
        </is>
      </c>
      <c r="F22" s="18">
        <f>SUMIFS(Funding!$G$14:$G$313,Funding!$B$14:$B$313,"Donation")</f>
        <v/>
      </c>
    </row>
    <row r="23">
      <c r="B23" s="17" t="inlineStr">
        <is>
          <t>Orders still open</t>
        </is>
      </c>
      <c r="C23" s="24">
        <f>Orders!$H$13</f>
        <v/>
      </c>
      <c r="E23" s="17" t="inlineStr">
        <is>
          <t>Kickstarter goal</t>
        </is>
      </c>
      <c r="F23" s="18">
        <f>Funding!B11</f>
        <v/>
      </c>
    </row>
    <row r="24">
      <c r="B24" s="17" t="inlineStr">
        <is>
          <t>Pairs sold (units)</t>
        </is>
      </c>
      <c r="C24" s="24">
        <f>'Sales Log'!$E$314</f>
        <v/>
      </c>
      <c r="E24" s="17" t="inlineStr">
        <is>
          <t>% of goal reached</t>
        </is>
      </c>
      <c r="F24" s="25">
        <f>IF(N(F23)=0,"",F21/F23)</f>
        <v/>
      </c>
    </row>
  </sheetData>
  <mergeCells count="2">
    <mergeCell ref="A2:F2"/>
    <mergeCell ref="A1:F1"/>
  </mergeCells>
  <conditionalFormatting sqref="C17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F11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F14">
    <cfRule type="cellIs" priority="5" operator="greaterThanOrEqual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496A9"/>
    <outlinePr summaryBelow="1" summaryRight="1"/>
    <pageSetUpPr/>
  </sheetPr>
  <dimension ref="A1:G2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3" customWidth="1" min="4" max="4"/>
    <col width="13" customWidth="1" min="5" max="5"/>
    <col width="13" customWidth="1" min="6" max="6"/>
    <col width="11" customWidth="1" min="7" max="7"/>
  </cols>
  <sheetData>
    <row r="1" ht="26" customHeight="1">
      <c r="A1" s="1" t="inlineStr">
        <is>
          <t>Products &amp; Pricing — Official Price List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The master list of everything BOYNT sells. Every product dropdown in this workbook pulls from column A.</t>
        </is>
      </c>
      <c r="B2" s="2" t="n"/>
      <c r="C2" s="2" t="n"/>
      <c r="D2" s="2" t="n"/>
      <c r="E2" s="2" t="n"/>
      <c r="F2" s="2" t="n"/>
      <c r="G2" s="2" t="n"/>
    </row>
    <row r="4" ht="14" customHeight="1">
      <c r="A4" s="15" t="inlineStr">
        <is>
          <t>WHAT THIS TAB IS FOR:  one row per product you sell. It feeds the dropdowns on Sales Log, Orders, and COGS,</t>
        </is>
      </c>
      <c r="B4" s="9" t="n"/>
      <c r="C4" s="9" t="n"/>
      <c r="D4" s="9" t="n"/>
      <c r="E4" s="9" t="n"/>
      <c r="F4" s="9" t="n"/>
      <c r="G4" s="9" t="n"/>
    </row>
    <row r="5" ht="14" customHeight="1">
      <c r="A5" s="15" t="inlineStr">
        <is>
          <t>and it shows your profit per pair once COGS is filled in.</t>
        </is>
      </c>
      <c r="B5" s="9" t="n"/>
      <c r="C5" s="9" t="n"/>
      <c r="D5" s="9" t="n"/>
      <c r="E5" s="9" t="n"/>
      <c r="F5" s="9" t="n"/>
      <c r="G5" s="9" t="n"/>
    </row>
    <row r="6" ht="14" customHeight="1">
      <c r="A6" s="16" t="inlineStr">
        <is>
          <t>WHAT GOES HERE:  Product Name (exact name you sell under), Frame Style, Lens/Colorway, and your Selling Price.</t>
        </is>
      </c>
      <c r="B6" s="9" t="n"/>
      <c r="C6" s="9" t="n"/>
      <c r="D6" s="9" t="n"/>
      <c r="E6" s="9" t="n"/>
      <c r="F6" s="9" t="n"/>
      <c r="G6" s="9" t="n"/>
    </row>
    <row r="7" ht="14" customHeight="1">
      <c r="A7" s="16" t="inlineStr">
        <is>
          <t>Cost per Unit, Profit, and Margin % are AUTOMATIC — they come from the COGS tab. Don't type in the blue columns.</t>
        </is>
      </c>
      <c r="B7" s="9" t="n"/>
      <c r="C7" s="9" t="n"/>
      <c r="D7" s="9" t="n"/>
      <c r="E7" s="9" t="n"/>
      <c r="F7" s="9" t="n"/>
      <c r="G7" s="9" t="n"/>
    </row>
    <row r="8" ht="14" customHeight="1">
      <c r="A8" s="16" t="inlineStr">
        <is>
          <t>WHEN TO UPDATE:  add a row when you launch a new model or colorway; edit the price if you change pricing.</t>
        </is>
      </c>
      <c r="B8" s="9" t="n"/>
      <c r="C8" s="9" t="n"/>
      <c r="D8" s="9" t="n"/>
      <c r="E8" s="9" t="n"/>
      <c r="F8" s="9" t="n"/>
      <c r="G8" s="9" t="n"/>
    </row>
    <row r="9" ht="14" customHeight="1">
      <c r="A9" s="16" t="inlineStr">
        <is>
          <t>NOTE: your 9 launch products and prices are pre-loaded from your class spreadsheet — edit them freely.</t>
        </is>
      </c>
      <c r="B9" s="9" t="n"/>
      <c r="C9" s="9" t="n"/>
      <c r="D9" s="9" t="n"/>
      <c r="E9" s="9" t="n"/>
      <c r="F9" s="9" t="n"/>
      <c r="G9" s="9" t="n"/>
    </row>
    <row r="13" ht="28" customHeight="1">
      <c r="A13" s="26" t="inlineStr">
        <is>
          <t>Product Name</t>
        </is>
      </c>
      <c r="B13" s="26" t="inlineStr">
        <is>
          <t>Frame Style</t>
        </is>
      </c>
      <c r="C13" s="26" t="inlineStr">
        <is>
          <t>Lens / Colorway</t>
        </is>
      </c>
      <c r="D13" s="26" t="inlineStr">
        <is>
          <t>Selling Price</t>
        </is>
      </c>
      <c r="E13" s="26" t="inlineStr">
        <is>
          <t>Cost per Unit (auto from COGS)</t>
        </is>
      </c>
      <c r="F13" s="26" t="inlineStr">
        <is>
          <t>Profit per Pair (auto)</t>
        </is>
      </c>
      <c r="G13" s="26" t="inlineStr">
        <is>
          <t>Margin % (auto)</t>
        </is>
      </c>
    </row>
    <row r="14">
      <c r="A14" s="12" t="inlineStr">
        <is>
          <t>The Classics</t>
        </is>
      </c>
      <c r="B14" s="12" t="inlineStr">
        <is>
          <t>The Classics</t>
        </is>
      </c>
      <c r="C14" s="12" t="inlineStr">
        <is>
          <t>Grey Lens</t>
        </is>
      </c>
      <c r="D14" s="27" t="n">
        <v>25</v>
      </c>
      <c r="E14" s="28">
        <f>IF(A14="","",COGS!G14)</f>
        <v/>
      </c>
      <c r="F14" s="28">
        <f>IF(OR(A14="",E14=""),"",D14-E14)</f>
        <v/>
      </c>
      <c r="G14" s="29">
        <f>IF(OR(A14="",E14="",D14=0),"",(D14-E14)/D14)</f>
        <v/>
      </c>
    </row>
    <row r="15">
      <c r="A15" s="12" t="inlineStr">
        <is>
          <t>The Classics Ocean Blue</t>
        </is>
      </c>
      <c r="B15" s="12" t="inlineStr">
        <is>
          <t>The Classics</t>
        </is>
      </c>
      <c r="C15" s="12" t="inlineStr">
        <is>
          <t>Blue Mirror REVO</t>
        </is>
      </c>
      <c r="D15" s="27" t="n">
        <v>28</v>
      </c>
      <c r="E15" s="28">
        <f>IF(A15="","",COGS!G15)</f>
        <v/>
      </c>
      <c r="F15" s="28">
        <f>IF(OR(A15="",E15=""),"",D15-E15)</f>
        <v/>
      </c>
      <c r="G15" s="29">
        <f>IF(OR(A15="",E15="",D15=0),"",(D15-E15)/D15)</f>
        <v/>
      </c>
    </row>
    <row r="16">
      <c r="A16" s="12" t="inlineStr">
        <is>
          <t>The Classics Driftwood Sand</t>
        </is>
      </c>
      <c r="B16" s="12" t="inlineStr">
        <is>
          <t>The Classics</t>
        </is>
      </c>
      <c r="C16" s="12" t="inlineStr">
        <is>
          <t>Brown / Amber</t>
        </is>
      </c>
      <c r="D16" s="27" t="n">
        <v>30</v>
      </c>
      <c r="E16" s="28">
        <f>IF(A16="","",COGS!G16)</f>
        <v/>
      </c>
      <c r="F16" s="28">
        <f>IF(OR(A16="",E16=""),"",D16-E16)</f>
        <v/>
      </c>
      <c r="G16" s="29">
        <f>IF(OR(A16="",E16="",D16=0),"",(D16-E16)/D16)</f>
        <v/>
      </c>
    </row>
    <row r="17">
      <c r="A17" s="12" t="inlineStr">
        <is>
          <t>Drifters</t>
        </is>
      </c>
      <c r="B17" s="12" t="inlineStr">
        <is>
          <t>Drifters</t>
        </is>
      </c>
      <c r="C17" s="12" t="inlineStr">
        <is>
          <t>Grey</t>
        </is>
      </c>
      <c r="D17" s="27" t="n">
        <v>30</v>
      </c>
      <c r="E17" s="28">
        <f>IF(A17="","",COGS!G17)</f>
        <v/>
      </c>
      <c r="F17" s="28">
        <f>IF(OR(A17="",E17=""),"",D17-E17)</f>
        <v/>
      </c>
      <c r="G17" s="29">
        <f>IF(OR(A17="",E17="",D17=0),"",(D17-E17)/D17)</f>
        <v/>
      </c>
    </row>
    <row r="18">
      <c r="A18" s="12" t="inlineStr">
        <is>
          <t>Drifters Seafoam</t>
        </is>
      </c>
      <c r="B18" s="12" t="inlineStr">
        <is>
          <t>Drifters</t>
        </is>
      </c>
      <c r="C18" s="12" t="inlineStr">
        <is>
          <t>Light Green / Grey</t>
        </is>
      </c>
      <c r="D18" s="27" t="n">
        <v>32</v>
      </c>
      <c r="E18" s="28">
        <f>IF(A18="","",COGS!G18)</f>
        <v/>
      </c>
      <c r="F18" s="28">
        <f>IF(OR(A18="",E18=""),"",D18-E18)</f>
        <v/>
      </c>
      <c r="G18" s="29">
        <f>IF(OR(A18="",E18="",D18=0),"",(D18-E18)/D18)</f>
        <v/>
      </c>
    </row>
    <row r="19">
      <c r="A19" s="12" t="inlineStr">
        <is>
          <t>Drifters Storm Grey</t>
        </is>
      </c>
      <c r="B19" s="12" t="inlineStr">
        <is>
          <t>Drifters</t>
        </is>
      </c>
      <c r="C19" s="12" t="inlineStr">
        <is>
          <t>Grey</t>
        </is>
      </c>
      <c r="D19" s="27" t="n">
        <v>35</v>
      </c>
      <c r="E19" s="28">
        <f>IF(A19="","",COGS!G19)</f>
        <v/>
      </c>
      <c r="F19" s="28">
        <f>IF(OR(A19="",E19=""),"",D19-E19)</f>
        <v/>
      </c>
      <c r="G19" s="29">
        <f>IF(OR(A19="",E19="",D19=0),"",(D19-E19)/D19)</f>
        <v/>
      </c>
    </row>
    <row r="20">
      <c r="A20" s="12" t="inlineStr">
        <is>
          <t>The Currents</t>
        </is>
      </c>
      <c r="B20" s="12" t="inlineStr">
        <is>
          <t>The Currents</t>
        </is>
      </c>
      <c r="C20" s="12" t="inlineStr">
        <is>
          <t>Grey</t>
        </is>
      </c>
      <c r="D20" s="27" t="n">
        <v>35</v>
      </c>
      <c r="E20" s="28">
        <f>IF(A20="","",COGS!G20)</f>
        <v/>
      </c>
      <c r="F20" s="28">
        <f>IF(OR(A20="",E20=""),"",D20-E20)</f>
        <v/>
      </c>
      <c r="G20" s="29">
        <f>IF(OR(A20="",E20="",D20=0),"",(D20-E20)/D20)</f>
        <v/>
      </c>
    </row>
    <row r="21">
      <c r="A21" s="12" t="inlineStr">
        <is>
          <t>The Currents Deep Ocean</t>
        </is>
      </c>
      <c r="B21" s="12" t="inlineStr">
        <is>
          <t>The Currents</t>
        </is>
      </c>
      <c r="C21" s="12" t="inlineStr">
        <is>
          <t>Blue Mirror REVO</t>
        </is>
      </c>
      <c r="D21" s="27" t="n">
        <v>38</v>
      </c>
      <c r="E21" s="28">
        <f>IF(A21="","",COGS!G21)</f>
        <v/>
      </c>
      <c r="F21" s="28">
        <f>IF(OR(A21="",E21=""),"",D21-E21)</f>
        <v/>
      </c>
      <c r="G21" s="29">
        <f>IF(OR(A21="",E21="",D21=0),"",(D21-E21)/D21)</f>
        <v/>
      </c>
    </row>
    <row r="22">
      <c r="A22" s="12" t="inlineStr">
        <is>
          <t>The Currents Driftwood Sand</t>
        </is>
      </c>
      <c r="B22" s="12" t="inlineStr">
        <is>
          <t>The Currents</t>
        </is>
      </c>
      <c r="C22" s="12" t="inlineStr">
        <is>
          <t>Brown / Amber</t>
        </is>
      </c>
      <c r="D22" s="27" t="n">
        <v>40</v>
      </c>
      <c r="E22" s="28">
        <f>IF(A22="","",COGS!G22)</f>
        <v/>
      </c>
      <c r="F22" s="28">
        <f>IF(OR(A22="",E22=""),"",D22-E22)</f>
        <v/>
      </c>
      <c r="G22" s="29">
        <f>IF(OR(A22="",E22="",D22=0),"",(D22-E22)/D22)</f>
        <v/>
      </c>
    </row>
    <row r="23">
      <c r="A23" s="12" t="n"/>
      <c r="B23" s="12" t="n"/>
      <c r="C23" s="12" t="n"/>
      <c r="D23" s="27" t="n"/>
      <c r="E23" s="28">
        <f>IF(A23="","",COGS!G23)</f>
        <v/>
      </c>
      <c r="F23" s="28">
        <f>IF(OR(A23="",E23=""),"",D23-E23)</f>
        <v/>
      </c>
      <c r="G23" s="29">
        <f>IF(OR(A23="",E23="",D23=0),"",(D23-E23)/D23)</f>
        <v/>
      </c>
    </row>
    <row r="24">
      <c r="A24" s="12" t="n"/>
      <c r="B24" s="12" t="n"/>
      <c r="C24" s="12" t="n"/>
      <c r="D24" s="27" t="n"/>
      <c r="E24" s="28">
        <f>IF(A24="","",COGS!G24)</f>
        <v/>
      </c>
      <c r="F24" s="28">
        <f>IF(OR(A24="",E24=""),"",D24-E24)</f>
        <v/>
      </c>
      <c r="G24" s="29">
        <f>IF(OR(A24="",E24="",D24=0),"",(D24-E24)/D24)</f>
        <v/>
      </c>
    </row>
    <row r="25">
      <c r="A25" s="12" t="n"/>
      <c r="B25" s="12" t="n"/>
      <c r="C25" s="12" t="n"/>
      <c r="D25" s="27" t="n"/>
      <c r="E25" s="28">
        <f>IF(A25="","",COGS!G25)</f>
        <v/>
      </c>
      <c r="F25" s="28">
        <f>IF(OR(A25="",E25=""),"",D25-E25)</f>
        <v/>
      </c>
      <c r="G25" s="29">
        <f>IF(OR(A25="",E25="",D25=0),"",(D25-E25)/D25)</f>
        <v/>
      </c>
    </row>
    <row r="26">
      <c r="A26" s="12" t="n"/>
      <c r="B26" s="12" t="n"/>
      <c r="C26" s="12" t="n"/>
      <c r="D26" s="27" t="n"/>
      <c r="E26" s="28">
        <f>IF(A26="","",COGS!G26)</f>
        <v/>
      </c>
      <c r="F26" s="28">
        <f>IF(OR(A26="",E26=""),"",D26-E26)</f>
        <v/>
      </c>
      <c r="G26" s="29">
        <f>IF(OR(A26="",E26="",D26=0),"",(D26-E26)/D26)</f>
        <v/>
      </c>
    </row>
    <row r="27">
      <c r="A27" s="12" t="n"/>
      <c r="B27" s="12" t="n"/>
      <c r="C27" s="12" t="n"/>
      <c r="D27" s="27" t="n"/>
      <c r="E27" s="28">
        <f>IF(A27="","",COGS!G27)</f>
        <v/>
      </c>
      <c r="F27" s="28">
        <f>IF(OR(A27="",E27=""),"",D27-E27)</f>
        <v/>
      </c>
      <c r="G27" s="29">
        <f>IF(OR(A27="",E27="",D27=0),"",(D27-E27)/D27)</f>
        <v/>
      </c>
    </row>
    <row r="28">
      <c r="A28" s="12" t="n"/>
      <c r="B28" s="12" t="n"/>
      <c r="C28" s="12" t="n"/>
      <c r="D28" s="27" t="n"/>
      <c r="E28" s="28">
        <f>IF(A28="","",COGS!G28)</f>
        <v/>
      </c>
      <c r="F28" s="28">
        <f>IF(OR(A28="",E28=""),"",D28-E28)</f>
        <v/>
      </c>
      <c r="G28" s="29">
        <f>IF(OR(A28="",E28="",D28=0),"",(D28-E28)/D28)</f>
        <v/>
      </c>
    </row>
  </sheetData>
  <mergeCells count="2">
    <mergeCell ref="A2:G2"/>
    <mergeCell ref="A1:G1"/>
  </mergeCells>
  <conditionalFormatting sqref="A14:D28">
    <cfRule type="expression" priority="1" dxfId="2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5B2E"/>
    <outlinePr summaryBelow="1" summaryRight="1"/>
    <pageSetUpPr/>
  </sheetPr>
  <dimension ref="A1:I29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4" customWidth="1" min="4" max="4"/>
    <col width="13" customWidth="1" min="5" max="5"/>
    <col width="11" customWidth="1" min="6" max="6"/>
    <col width="15" customWidth="1" min="7" max="7"/>
    <col width="14" customWidth="1" min="8" max="8"/>
    <col width="14" customWidth="1" min="9" max="9"/>
  </cols>
  <sheetData>
    <row r="1" ht="26" customHeight="1">
      <c r="A1" s="1" t="inlineStr">
        <is>
          <t>COGS — Cost of Goods Sold (what ONE pair costs you to make)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Break down the cost of producing a single pair of each model. This is where you find out your real profit.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14" customHeight="1">
      <c r="A4" s="15" t="inlineStr">
        <is>
          <t>WHAT THIS TAB IS FOR:  calculating your cost PER PAIR for each model, and your total production cost for the year.</t>
        </is>
      </c>
      <c r="B4" s="9" t="n"/>
      <c r="C4" s="9" t="n"/>
      <c r="D4" s="9" t="n"/>
      <c r="E4" s="9" t="n"/>
      <c r="F4" s="9" t="n"/>
      <c r="G4" s="9" t="n"/>
      <c r="H4" s="9" t="n"/>
      <c r="I4" s="9" t="n"/>
    </row>
    <row r="5" ht="14" customHeight="1">
      <c r="A5" s="16" t="inlineStr">
        <is>
          <t>WHAT GOES HERE:  in each white column, enter what ONE pair uses:  Frame Material (polypropylene/resin), Lenses,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 ht="14" customHeight="1">
      <c r="A6" s="16" t="inlineStr">
        <is>
          <t>Hinges &amp; Screws, Packaging (box, pouch, cloth), and Other (stickers, cards, thread...).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 ht="14" customHeight="1">
      <c r="A7" s="16" t="inlineStr">
        <is>
          <t>HOW TO GET PER-PAIR NUMBERS:  divide what you paid by how many pairs it covers. Example: $1,400 of screws that</t>
        </is>
      </c>
      <c r="B7" s="9" t="n"/>
      <c r="C7" s="9" t="n"/>
      <c r="D7" s="9" t="n"/>
      <c r="E7" s="9" t="n"/>
      <c r="F7" s="9" t="n"/>
      <c r="G7" s="9" t="n"/>
      <c r="H7" s="9" t="n"/>
      <c r="I7" s="9" t="n"/>
    </row>
    <row r="8" ht="14" customHeight="1">
      <c r="A8" s="16" t="inlineStr">
        <is>
          <t>covers 2,500 pairs = $0.56 per pair. A $3,300 packaging kit for 2,000 orders = $1.65 per pair.</t>
        </is>
      </c>
      <c r="B8" s="9" t="n"/>
      <c r="C8" s="9" t="n"/>
      <c r="D8" s="9" t="n"/>
      <c r="E8" s="9" t="n"/>
      <c r="F8" s="9" t="n"/>
      <c r="G8" s="9" t="n"/>
      <c r="H8" s="9" t="n"/>
      <c r="I8" s="9" t="n"/>
    </row>
    <row r="9" ht="14" customHeight="1">
      <c r="A9" s="16" t="inlineStr">
        <is>
          <t>WHAT DOES NOT GO HERE:  equipment (that's Capital) and general bills like insurance or your website (Operating Costs).</t>
        </is>
      </c>
      <c r="B9" s="9" t="n"/>
      <c r="C9" s="9" t="n"/>
      <c r="D9" s="9" t="n"/>
      <c r="E9" s="9" t="n"/>
      <c r="F9" s="9" t="n"/>
      <c r="G9" s="9" t="n"/>
      <c r="H9" s="9" t="n"/>
      <c r="I9" s="9" t="n"/>
    </row>
    <row r="10" ht="14" customHeight="1">
      <c r="A10" s="16" t="inlineStr">
        <is>
          <t>AUTOMATIC:  Product names sync from Products &amp; Pricing. Units Sold counts your Sales Log. Total COGS = cost × units.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4" customHeight="1">
      <c r="A11" s="16" t="inlineStr">
        <is>
          <t>NOTE:  when you BUY materials, also log the purchase on Operating Costs (category: Materials &amp; Product Supplies)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14" customHeight="1">
      <c r="A12" s="16" t="inlineStr">
        <is>
          <t>so your cash tracking stays accurate. This tab is the per-unit math; that tab is the actual money leaving your pocket.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8" customHeight="1">
      <c r="A13" s="26" t="inlineStr">
        <is>
          <t>Product (auto)</t>
        </is>
      </c>
      <c r="B13" s="26" t="inlineStr">
        <is>
          <t>Frame Material $ /pair</t>
        </is>
      </c>
      <c r="C13" s="26" t="inlineStr">
        <is>
          <t>Lenses $ /pair</t>
        </is>
      </c>
      <c r="D13" s="26" t="inlineStr">
        <is>
          <t>Hinges &amp; Screws $ /pair</t>
        </is>
      </c>
      <c r="E13" s="26" t="inlineStr">
        <is>
          <t>Packaging $ /pair</t>
        </is>
      </c>
      <c r="F13" s="26" t="inlineStr">
        <is>
          <t>Other $ /pair</t>
        </is>
      </c>
      <c r="G13" s="26" t="inlineStr">
        <is>
          <t>TOTAL COST PER PAIR (auto)</t>
        </is>
      </c>
      <c r="H13" s="26" t="inlineStr">
        <is>
          <t>Units Sold (auto from Sales Log)</t>
        </is>
      </c>
      <c r="I13" s="26" t="inlineStr">
        <is>
          <t>Total COGS (auto)</t>
        </is>
      </c>
    </row>
    <row r="14">
      <c r="A14" s="30">
        <f>'Products &amp; Pricing'!A14&amp;""</f>
        <v/>
      </c>
      <c r="B14" s="27" t="n"/>
      <c r="C14" s="27" t="n"/>
      <c r="D14" s="27" t="n"/>
      <c r="E14" s="27" t="n"/>
      <c r="F14" s="27" t="n"/>
      <c r="G14" s="28">
        <f>IF(A14="","",N(B14)+N(C14)+N(D14)+N(E14)+N(F14))</f>
        <v/>
      </c>
      <c r="H14" s="31">
        <f>IF(A14="","",SUMIFS('Sales Log'!$E$14:$E$313,'Sales Log'!$D$14:$D$313,A14))</f>
        <v/>
      </c>
      <c r="I14" s="28">
        <f>IF(A14="","",N(G14)*N(H14))</f>
        <v/>
      </c>
    </row>
    <row r="15">
      <c r="A15" s="30">
        <f>'Products &amp; Pricing'!A15&amp;""</f>
        <v/>
      </c>
      <c r="B15" s="27" t="n"/>
      <c r="C15" s="27" t="n"/>
      <c r="D15" s="27" t="n"/>
      <c r="E15" s="27" t="n"/>
      <c r="F15" s="27" t="n"/>
      <c r="G15" s="28">
        <f>IF(A15="","",N(B15)+N(C15)+N(D15)+N(E15)+N(F15))</f>
        <v/>
      </c>
      <c r="H15" s="31">
        <f>IF(A15="","",SUMIFS('Sales Log'!$E$14:$E$313,'Sales Log'!$D$14:$D$313,A15))</f>
        <v/>
      </c>
      <c r="I15" s="28">
        <f>IF(A15="","",N(G15)*N(H15))</f>
        <v/>
      </c>
    </row>
    <row r="16">
      <c r="A16" s="30">
        <f>'Products &amp; Pricing'!A16&amp;""</f>
        <v/>
      </c>
      <c r="B16" s="27" t="n"/>
      <c r="C16" s="27" t="n"/>
      <c r="D16" s="27" t="n"/>
      <c r="E16" s="27" t="n"/>
      <c r="F16" s="27" t="n"/>
      <c r="G16" s="28">
        <f>IF(A16="","",N(B16)+N(C16)+N(D16)+N(E16)+N(F16))</f>
        <v/>
      </c>
      <c r="H16" s="31">
        <f>IF(A16="","",SUMIFS('Sales Log'!$E$14:$E$313,'Sales Log'!$D$14:$D$313,A16))</f>
        <v/>
      </c>
      <c r="I16" s="28">
        <f>IF(A16="","",N(G16)*N(H16))</f>
        <v/>
      </c>
    </row>
    <row r="17">
      <c r="A17" s="30">
        <f>'Products &amp; Pricing'!A17&amp;""</f>
        <v/>
      </c>
      <c r="B17" s="27" t="n"/>
      <c r="C17" s="27" t="n"/>
      <c r="D17" s="27" t="n"/>
      <c r="E17" s="27" t="n"/>
      <c r="F17" s="27" t="n"/>
      <c r="G17" s="28">
        <f>IF(A17="","",N(B17)+N(C17)+N(D17)+N(E17)+N(F17))</f>
        <v/>
      </c>
      <c r="H17" s="31">
        <f>IF(A17="","",SUMIFS('Sales Log'!$E$14:$E$313,'Sales Log'!$D$14:$D$313,A17))</f>
        <v/>
      </c>
      <c r="I17" s="28">
        <f>IF(A17="","",N(G17)*N(H17))</f>
        <v/>
      </c>
    </row>
    <row r="18">
      <c r="A18" s="30">
        <f>'Products &amp; Pricing'!A18&amp;""</f>
        <v/>
      </c>
      <c r="B18" s="27" t="n"/>
      <c r="C18" s="27" t="n"/>
      <c r="D18" s="27" t="n"/>
      <c r="E18" s="27" t="n"/>
      <c r="F18" s="27" t="n"/>
      <c r="G18" s="28">
        <f>IF(A18="","",N(B18)+N(C18)+N(D18)+N(E18)+N(F18))</f>
        <v/>
      </c>
      <c r="H18" s="31">
        <f>IF(A18="","",SUMIFS('Sales Log'!$E$14:$E$313,'Sales Log'!$D$14:$D$313,A18))</f>
        <v/>
      </c>
      <c r="I18" s="28">
        <f>IF(A18="","",N(G18)*N(H18))</f>
        <v/>
      </c>
    </row>
    <row r="19">
      <c r="A19" s="30">
        <f>'Products &amp; Pricing'!A19&amp;""</f>
        <v/>
      </c>
      <c r="B19" s="27" t="n"/>
      <c r="C19" s="27" t="n"/>
      <c r="D19" s="27" t="n"/>
      <c r="E19" s="27" t="n"/>
      <c r="F19" s="27" t="n"/>
      <c r="G19" s="28">
        <f>IF(A19="","",N(B19)+N(C19)+N(D19)+N(E19)+N(F19))</f>
        <v/>
      </c>
      <c r="H19" s="31">
        <f>IF(A19="","",SUMIFS('Sales Log'!$E$14:$E$313,'Sales Log'!$D$14:$D$313,A19))</f>
        <v/>
      </c>
      <c r="I19" s="28">
        <f>IF(A19="","",N(G19)*N(H19))</f>
        <v/>
      </c>
    </row>
    <row r="20">
      <c r="A20" s="30">
        <f>'Products &amp; Pricing'!A20&amp;""</f>
        <v/>
      </c>
      <c r="B20" s="27" t="n"/>
      <c r="C20" s="27" t="n"/>
      <c r="D20" s="27" t="n"/>
      <c r="E20" s="27" t="n"/>
      <c r="F20" s="27" t="n"/>
      <c r="G20" s="28">
        <f>IF(A20="","",N(B20)+N(C20)+N(D20)+N(E20)+N(F20))</f>
        <v/>
      </c>
      <c r="H20" s="31">
        <f>IF(A20="","",SUMIFS('Sales Log'!$E$14:$E$313,'Sales Log'!$D$14:$D$313,A20))</f>
        <v/>
      </c>
      <c r="I20" s="28">
        <f>IF(A20="","",N(G20)*N(H20))</f>
        <v/>
      </c>
    </row>
    <row r="21">
      <c r="A21" s="30">
        <f>'Products &amp; Pricing'!A21&amp;""</f>
        <v/>
      </c>
      <c r="B21" s="27" t="n"/>
      <c r="C21" s="27" t="n"/>
      <c r="D21" s="27" t="n"/>
      <c r="E21" s="27" t="n"/>
      <c r="F21" s="27" t="n"/>
      <c r="G21" s="28">
        <f>IF(A21="","",N(B21)+N(C21)+N(D21)+N(E21)+N(F21))</f>
        <v/>
      </c>
      <c r="H21" s="31">
        <f>IF(A21="","",SUMIFS('Sales Log'!$E$14:$E$313,'Sales Log'!$D$14:$D$313,A21))</f>
        <v/>
      </c>
      <c r="I21" s="28">
        <f>IF(A21="","",N(G21)*N(H21))</f>
        <v/>
      </c>
    </row>
    <row r="22">
      <c r="A22" s="30">
        <f>'Products &amp; Pricing'!A22&amp;""</f>
        <v/>
      </c>
      <c r="B22" s="27" t="n"/>
      <c r="C22" s="27" t="n"/>
      <c r="D22" s="27" t="n"/>
      <c r="E22" s="27" t="n"/>
      <c r="F22" s="27" t="n"/>
      <c r="G22" s="28">
        <f>IF(A22="","",N(B22)+N(C22)+N(D22)+N(E22)+N(F22))</f>
        <v/>
      </c>
      <c r="H22" s="31">
        <f>IF(A22="","",SUMIFS('Sales Log'!$E$14:$E$313,'Sales Log'!$D$14:$D$313,A22))</f>
        <v/>
      </c>
      <c r="I22" s="28">
        <f>IF(A22="","",N(G22)*N(H22))</f>
        <v/>
      </c>
    </row>
    <row r="23">
      <c r="A23" s="30">
        <f>'Products &amp; Pricing'!A23&amp;""</f>
        <v/>
      </c>
      <c r="B23" s="27" t="n"/>
      <c r="C23" s="27" t="n"/>
      <c r="D23" s="27" t="n"/>
      <c r="E23" s="27" t="n"/>
      <c r="F23" s="27" t="n"/>
      <c r="G23" s="28">
        <f>IF(A23="","",N(B23)+N(C23)+N(D23)+N(E23)+N(F23))</f>
        <v/>
      </c>
      <c r="H23" s="31">
        <f>IF(A23="","",SUMIFS('Sales Log'!$E$14:$E$313,'Sales Log'!$D$14:$D$313,A23))</f>
        <v/>
      </c>
      <c r="I23" s="28">
        <f>IF(A23="","",N(G23)*N(H23))</f>
        <v/>
      </c>
    </row>
    <row r="24">
      <c r="A24" s="30">
        <f>'Products &amp; Pricing'!A24&amp;""</f>
        <v/>
      </c>
      <c r="B24" s="27" t="n"/>
      <c r="C24" s="27" t="n"/>
      <c r="D24" s="27" t="n"/>
      <c r="E24" s="27" t="n"/>
      <c r="F24" s="27" t="n"/>
      <c r="G24" s="28">
        <f>IF(A24="","",N(B24)+N(C24)+N(D24)+N(E24)+N(F24))</f>
        <v/>
      </c>
      <c r="H24" s="31">
        <f>IF(A24="","",SUMIFS('Sales Log'!$E$14:$E$313,'Sales Log'!$D$14:$D$313,A24))</f>
        <v/>
      </c>
      <c r="I24" s="28">
        <f>IF(A24="","",N(G24)*N(H24))</f>
        <v/>
      </c>
    </row>
    <row r="25">
      <c r="A25" s="30">
        <f>'Products &amp; Pricing'!A25&amp;""</f>
        <v/>
      </c>
      <c r="B25" s="27" t="n"/>
      <c r="C25" s="27" t="n"/>
      <c r="D25" s="27" t="n"/>
      <c r="E25" s="27" t="n"/>
      <c r="F25" s="27" t="n"/>
      <c r="G25" s="28">
        <f>IF(A25="","",N(B25)+N(C25)+N(D25)+N(E25)+N(F25))</f>
        <v/>
      </c>
      <c r="H25" s="31">
        <f>IF(A25="","",SUMIFS('Sales Log'!$E$14:$E$313,'Sales Log'!$D$14:$D$313,A25))</f>
        <v/>
      </c>
      <c r="I25" s="28">
        <f>IF(A25="","",N(G25)*N(H25))</f>
        <v/>
      </c>
    </row>
    <row r="26">
      <c r="A26" s="30">
        <f>'Products &amp; Pricing'!A26&amp;""</f>
        <v/>
      </c>
      <c r="B26" s="27" t="n"/>
      <c r="C26" s="27" t="n"/>
      <c r="D26" s="27" t="n"/>
      <c r="E26" s="27" t="n"/>
      <c r="F26" s="27" t="n"/>
      <c r="G26" s="28">
        <f>IF(A26="","",N(B26)+N(C26)+N(D26)+N(E26)+N(F26))</f>
        <v/>
      </c>
      <c r="H26" s="31">
        <f>IF(A26="","",SUMIFS('Sales Log'!$E$14:$E$313,'Sales Log'!$D$14:$D$313,A26))</f>
        <v/>
      </c>
      <c r="I26" s="28">
        <f>IF(A26="","",N(G26)*N(H26))</f>
        <v/>
      </c>
    </row>
    <row r="27">
      <c r="A27" s="30">
        <f>'Products &amp; Pricing'!A27&amp;""</f>
        <v/>
      </c>
      <c r="B27" s="27" t="n"/>
      <c r="C27" s="27" t="n"/>
      <c r="D27" s="27" t="n"/>
      <c r="E27" s="27" t="n"/>
      <c r="F27" s="27" t="n"/>
      <c r="G27" s="28">
        <f>IF(A27="","",N(B27)+N(C27)+N(D27)+N(E27)+N(F27))</f>
        <v/>
      </c>
      <c r="H27" s="31">
        <f>IF(A27="","",SUMIFS('Sales Log'!$E$14:$E$313,'Sales Log'!$D$14:$D$313,A27))</f>
        <v/>
      </c>
      <c r="I27" s="28">
        <f>IF(A27="","",N(G27)*N(H27))</f>
        <v/>
      </c>
    </row>
    <row r="28">
      <c r="A28" s="30">
        <f>'Products &amp; Pricing'!A28&amp;""</f>
        <v/>
      </c>
      <c r="B28" s="27" t="n"/>
      <c r="C28" s="27" t="n"/>
      <c r="D28" s="27" t="n"/>
      <c r="E28" s="27" t="n"/>
      <c r="F28" s="27" t="n"/>
      <c r="G28" s="28">
        <f>IF(A28="","",N(B28)+N(C28)+N(D28)+N(E28)+N(F28))</f>
        <v/>
      </c>
      <c r="H28" s="31">
        <f>IF(A28="","",SUMIFS('Sales Log'!$E$14:$E$313,'Sales Log'!$D$14:$D$313,A28))</f>
        <v/>
      </c>
      <c r="I28" s="28">
        <f>IF(A28="","",N(G28)*N(H28))</f>
        <v/>
      </c>
    </row>
    <row r="29">
      <c r="A29" s="32" t="inlineStr">
        <is>
          <t>TOTAL</t>
        </is>
      </c>
      <c r="B29" s="32" t="n"/>
      <c r="C29" s="32" t="n"/>
      <c r="D29" s="32" t="n"/>
      <c r="E29" s="32" t="n"/>
      <c r="F29" s="32" t="n"/>
      <c r="G29" s="32" t="n"/>
      <c r="H29" s="33">
        <f>SUM(H14:H28)</f>
        <v/>
      </c>
      <c r="I29" s="34">
        <f>SUM(I14:I28)</f>
        <v/>
      </c>
    </row>
  </sheetData>
  <mergeCells count="2">
    <mergeCell ref="A1:I1"/>
    <mergeCell ref="A2:I2"/>
  </mergeCells>
  <conditionalFormatting sqref="B14:F28">
    <cfRule type="expression" priority="1" dxfId="2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23A3A"/>
    <outlinePr summaryBelow="1" summaryRight="1"/>
    <pageSetUpPr/>
  </sheetPr>
  <dimension ref="A1:H6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40" customWidth="1" min="4" max="4"/>
    <col width="14" customWidth="1" min="5" max="5"/>
    <col width="12" customWidth="1" min="6" max="6"/>
    <col width="13" customWidth="1" min="7" max="7"/>
    <col width="26" customWidth="1" min="8" max="8"/>
  </cols>
  <sheetData>
    <row r="1" ht="26" customHeight="1">
      <c r="A1" s="1" t="inlineStr">
        <is>
          <t>Capital — One-Time Startup Equipment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Big things you buy ONCE to get BOYNT running: printers, molding machines, tools, legal filings.</t>
        </is>
      </c>
      <c r="B2" s="2" t="n"/>
      <c r="C2" s="2" t="n"/>
      <c r="D2" s="2" t="n"/>
      <c r="E2" s="2" t="n"/>
      <c r="F2" s="2" t="n"/>
      <c r="G2" s="2" t="n"/>
      <c r="H2" s="2" t="n"/>
    </row>
    <row r="4" ht="14" customHeight="1">
      <c r="A4" s="15" t="inlineStr">
        <is>
          <t>WHAT THIS TAB IS FOR:  tracking every one-time startup purchase and how much of your capital budget is spent.</t>
        </is>
      </c>
      <c r="B4" s="9" t="n"/>
      <c r="C4" s="9" t="n"/>
      <c r="D4" s="9" t="n"/>
      <c r="E4" s="9" t="n"/>
      <c r="F4" s="9" t="n"/>
      <c r="G4" s="9" t="n"/>
      <c r="H4" s="9" t="n"/>
    </row>
    <row r="5" ht="14" customHeight="1">
      <c r="A5" s="16" t="inlineStr">
        <is>
          <t>WHAT GOES HERE:  equipment and setup items — 3D printer, injection molding machine, tools, LLC filing, trademarks,</t>
        </is>
      </c>
      <c r="B5" s="9" t="n"/>
      <c r="C5" s="9" t="n"/>
      <c r="D5" s="9" t="n"/>
      <c r="E5" s="9" t="n"/>
      <c r="F5" s="9" t="n"/>
      <c r="G5" s="9" t="n"/>
      <c r="H5" s="9" t="n"/>
    </row>
    <row r="6" ht="14" customHeight="1">
      <c r="A6" s="16" t="inlineStr">
        <is>
          <t>computers, shelving. If you'll buy it once and use it for years, it belongs here.</t>
        </is>
      </c>
      <c r="B6" s="9" t="n"/>
      <c r="C6" s="9" t="n"/>
      <c r="D6" s="9" t="n"/>
      <c r="E6" s="9" t="n"/>
      <c r="F6" s="9" t="n"/>
      <c r="G6" s="9" t="n"/>
      <c r="H6" s="9" t="n"/>
    </row>
    <row r="7" ht="14" customHeight="1">
      <c r="A7" s="16" t="inlineStr">
        <is>
          <t>WHAT DOES NOT GO HERE:  materials that go INTO the product (COGS tab / Operating Costs) or recurring bills (Operating Costs).</t>
        </is>
      </c>
      <c r="B7" s="9" t="n"/>
      <c r="C7" s="9" t="n"/>
      <c r="D7" s="9" t="n"/>
      <c r="E7" s="9" t="n"/>
      <c r="F7" s="9" t="n"/>
      <c r="G7" s="9" t="n"/>
      <c r="H7" s="9" t="n"/>
    </row>
    <row r="8" ht="14" customHeight="1">
      <c r="A8" s="16" t="inlineStr">
        <is>
          <t>HOW TO USE IT:  one row per item. Paste the vendor link so you can reorder. Set Status:  Planned = still shopping,</t>
        </is>
      </c>
      <c r="B8" s="9" t="n"/>
      <c r="C8" s="9" t="n"/>
      <c r="D8" s="9" t="n"/>
      <c r="E8" s="9" t="n"/>
      <c r="F8" s="9" t="n"/>
      <c r="G8" s="9" t="n"/>
      <c r="H8" s="9" t="n"/>
    </row>
    <row r="9" ht="14" customHeight="1">
      <c r="A9" s="16" t="inlineStr">
        <is>
          <t>Ordered = money committed, Received = it's in your hands. Only enter Date Purchased when money actually leaves your</t>
        </is>
      </c>
      <c r="B9" s="9" t="n"/>
      <c r="C9" s="9" t="n"/>
      <c r="D9" s="9" t="n"/>
      <c r="E9" s="9" t="n"/>
      <c r="F9" s="9" t="n"/>
      <c r="G9" s="9" t="n"/>
      <c r="H9" s="9" t="n"/>
    </row>
    <row r="10" ht="14" customHeight="1">
      <c r="A10" s="16" t="inlineStr">
        <is>
          <t>account — that's what tells the Dashboard and Monthly Cash Flow the money is really spent.</t>
        </is>
      </c>
      <c r="B10" s="9" t="n"/>
      <c r="C10" s="9" t="n"/>
      <c r="D10" s="9" t="n"/>
      <c r="E10" s="9" t="n"/>
      <c r="F10" s="9" t="n"/>
      <c r="G10" s="9" t="n"/>
      <c r="H10" s="9" t="n"/>
    </row>
    <row r="12">
      <c r="B12" s="6" t="inlineStr">
        <is>
          <t>Total planned (not yet bought):</t>
        </is>
      </c>
      <c r="C12" s="35">
        <f>SUMIFS(G14:G63,F14:F63,"Planned")</f>
        <v/>
      </c>
      <c r="E12" s="6" t="inlineStr">
        <is>
          <t>Total spent (dated rows):</t>
        </is>
      </c>
      <c r="F12" s="36">
        <f>SUMIFS(G14:G63,E14:E63,"&gt;0")</f>
        <v/>
      </c>
    </row>
    <row r="13" ht="28" customHeight="1">
      <c r="A13" s="26" t="inlineStr">
        <is>
          <t>#</t>
        </is>
      </c>
      <c r="B13" s="26" t="inlineStr">
        <is>
          <t>Item</t>
        </is>
      </c>
      <c r="C13" s="26" t="inlineStr">
        <is>
          <t>Category</t>
        </is>
      </c>
      <c r="D13" s="26" t="inlineStr">
        <is>
          <t>Vendor / Link</t>
        </is>
      </c>
      <c r="E13" s="26" t="inlineStr">
        <is>
          <t>Date Purchased</t>
        </is>
      </c>
      <c r="F13" s="26" t="inlineStr">
        <is>
          <t>Status</t>
        </is>
      </c>
      <c r="G13" s="26" t="inlineStr">
        <is>
          <t>Cost</t>
        </is>
      </c>
      <c r="H13" s="26" t="inlineStr">
        <is>
          <t>Notes</t>
        </is>
      </c>
    </row>
    <row r="14">
      <c r="A14" s="37">
        <f>IF(B14="","",ROW()-13)</f>
        <v/>
      </c>
      <c r="B14" s="12" t="n"/>
      <c r="C14" s="12" t="n"/>
      <c r="D14" s="12" t="n"/>
      <c r="E14" s="38" t="n"/>
      <c r="F14" s="12" t="n"/>
      <c r="G14" s="27" t="n"/>
      <c r="H14" s="12" t="n"/>
    </row>
    <row r="15">
      <c r="A15" s="37">
        <f>IF(B15="","",ROW()-13)</f>
        <v/>
      </c>
      <c r="B15" s="12" t="n"/>
      <c r="C15" s="12" t="n"/>
      <c r="D15" s="12" t="n"/>
      <c r="E15" s="38" t="n"/>
      <c r="F15" s="12" t="n"/>
      <c r="G15" s="27" t="n"/>
      <c r="H15" s="12" t="n"/>
    </row>
    <row r="16">
      <c r="A16" s="37">
        <f>IF(B16="","",ROW()-13)</f>
        <v/>
      </c>
      <c r="B16" s="12" t="n"/>
      <c r="C16" s="12" t="n"/>
      <c r="D16" s="12" t="n"/>
      <c r="E16" s="38" t="n"/>
      <c r="F16" s="12" t="n"/>
      <c r="G16" s="27" t="n"/>
      <c r="H16" s="12" t="n"/>
    </row>
    <row r="17">
      <c r="A17" s="37">
        <f>IF(B17="","",ROW()-13)</f>
        <v/>
      </c>
      <c r="B17" s="12" t="n"/>
      <c r="C17" s="12" t="n"/>
      <c r="D17" s="12" t="n"/>
      <c r="E17" s="38" t="n"/>
      <c r="F17" s="12" t="n"/>
      <c r="G17" s="27" t="n"/>
      <c r="H17" s="12" t="n"/>
    </row>
    <row r="18">
      <c r="A18" s="37">
        <f>IF(B18="","",ROW()-13)</f>
        <v/>
      </c>
      <c r="B18" s="12" t="n"/>
      <c r="C18" s="12" t="n"/>
      <c r="D18" s="12" t="n"/>
      <c r="E18" s="38" t="n"/>
      <c r="F18" s="12" t="n"/>
      <c r="G18" s="27" t="n"/>
      <c r="H18" s="12" t="n"/>
    </row>
    <row r="19">
      <c r="A19" s="37">
        <f>IF(B19="","",ROW()-13)</f>
        <v/>
      </c>
      <c r="B19" s="12" t="n"/>
      <c r="C19" s="12" t="n"/>
      <c r="D19" s="12" t="n"/>
      <c r="E19" s="38" t="n"/>
      <c r="F19" s="12" t="n"/>
      <c r="G19" s="27" t="n"/>
      <c r="H19" s="12" t="n"/>
    </row>
    <row r="20">
      <c r="A20" s="37">
        <f>IF(B20="","",ROW()-13)</f>
        <v/>
      </c>
      <c r="B20" s="12" t="n"/>
      <c r="C20" s="12" t="n"/>
      <c r="D20" s="12" t="n"/>
      <c r="E20" s="38" t="n"/>
      <c r="F20" s="12" t="n"/>
      <c r="G20" s="27" t="n"/>
      <c r="H20" s="12" t="n"/>
    </row>
    <row r="21">
      <c r="A21" s="37">
        <f>IF(B21="","",ROW()-13)</f>
        <v/>
      </c>
      <c r="B21" s="12" t="n"/>
      <c r="C21" s="12" t="n"/>
      <c r="D21" s="12" t="n"/>
      <c r="E21" s="38" t="n"/>
      <c r="F21" s="12" t="n"/>
      <c r="G21" s="27" t="n"/>
      <c r="H21" s="12" t="n"/>
    </row>
    <row r="22">
      <c r="A22" s="37">
        <f>IF(B22="","",ROW()-13)</f>
        <v/>
      </c>
      <c r="B22" s="12" t="n"/>
      <c r="C22" s="12" t="n"/>
      <c r="D22" s="12" t="n"/>
      <c r="E22" s="38" t="n"/>
      <c r="F22" s="12" t="n"/>
      <c r="G22" s="27" t="n"/>
      <c r="H22" s="12" t="n"/>
    </row>
    <row r="23">
      <c r="A23" s="37">
        <f>IF(B23="","",ROW()-13)</f>
        <v/>
      </c>
      <c r="B23" s="12" t="n"/>
      <c r="C23" s="12" t="n"/>
      <c r="D23" s="12" t="n"/>
      <c r="E23" s="38" t="n"/>
      <c r="F23" s="12" t="n"/>
      <c r="G23" s="27" t="n"/>
      <c r="H23" s="12" t="n"/>
    </row>
    <row r="24">
      <c r="A24" s="37">
        <f>IF(B24="","",ROW()-13)</f>
        <v/>
      </c>
      <c r="B24" s="12" t="n"/>
      <c r="C24" s="12" t="n"/>
      <c r="D24" s="12" t="n"/>
      <c r="E24" s="38" t="n"/>
      <c r="F24" s="12" t="n"/>
      <c r="G24" s="27" t="n"/>
      <c r="H24" s="12" t="n"/>
    </row>
    <row r="25">
      <c r="A25" s="37">
        <f>IF(B25="","",ROW()-13)</f>
        <v/>
      </c>
      <c r="B25" s="12" t="n"/>
      <c r="C25" s="12" t="n"/>
      <c r="D25" s="12" t="n"/>
      <c r="E25" s="38" t="n"/>
      <c r="F25" s="12" t="n"/>
      <c r="G25" s="27" t="n"/>
      <c r="H25" s="12" t="n"/>
    </row>
    <row r="26">
      <c r="A26" s="37">
        <f>IF(B26="","",ROW()-13)</f>
        <v/>
      </c>
      <c r="B26" s="12" t="n"/>
      <c r="C26" s="12" t="n"/>
      <c r="D26" s="12" t="n"/>
      <c r="E26" s="38" t="n"/>
      <c r="F26" s="12" t="n"/>
      <c r="G26" s="27" t="n"/>
      <c r="H26" s="12" t="n"/>
    </row>
    <row r="27">
      <c r="A27" s="37">
        <f>IF(B27="","",ROW()-13)</f>
        <v/>
      </c>
      <c r="B27" s="12" t="n"/>
      <c r="C27" s="12" t="n"/>
      <c r="D27" s="12" t="n"/>
      <c r="E27" s="38" t="n"/>
      <c r="F27" s="12" t="n"/>
      <c r="G27" s="27" t="n"/>
      <c r="H27" s="12" t="n"/>
    </row>
    <row r="28">
      <c r="A28" s="37">
        <f>IF(B28="","",ROW()-13)</f>
        <v/>
      </c>
      <c r="B28" s="12" t="n"/>
      <c r="C28" s="12" t="n"/>
      <c r="D28" s="12" t="n"/>
      <c r="E28" s="38" t="n"/>
      <c r="F28" s="12" t="n"/>
      <c r="G28" s="27" t="n"/>
      <c r="H28" s="12" t="n"/>
    </row>
    <row r="29">
      <c r="A29" s="37">
        <f>IF(B29="","",ROW()-13)</f>
        <v/>
      </c>
      <c r="B29" s="12" t="n"/>
      <c r="C29" s="12" t="n"/>
      <c r="D29" s="12" t="n"/>
      <c r="E29" s="38" t="n"/>
      <c r="F29" s="12" t="n"/>
      <c r="G29" s="27" t="n"/>
      <c r="H29" s="12" t="n"/>
    </row>
    <row r="30">
      <c r="A30" s="37">
        <f>IF(B30="","",ROW()-13)</f>
        <v/>
      </c>
      <c r="B30" s="12" t="n"/>
      <c r="C30" s="12" t="n"/>
      <c r="D30" s="12" t="n"/>
      <c r="E30" s="38" t="n"/>
      <c r="F30" s="12" t="n"/>
      <c r="G30" s="27" t="n"/>
      <c r="H30" s="12" t="n"/>
    </row>
    <row r="31">
      <c r="A31" s="37">
        <f>IF(B31="","",ROW()-13)</f>
        <v/>
      </c>
      <c r="B31" s="12" t="n"/>
      <c r="C31" s="12" t="n"/>
      <c r="D31" s="12" t="n"/>
      <c r="E31" s="38" t="n"/>
      <c r="F31" s="12" t="n"/>
      <c r="G31" s="27" t="n"/>
      <c r="H31" s="12" t="n"/>
    </row>
    <row r="32">
      <c r="A32" s="37">
        <f>IF(B32="","",ROW()-13)</f>
        <v/>
      </c>
      <c r="B32" s="12" t="n"/>
      <c r="C32" s="12" t="n"/>
      <c r="D32" s="12" t="n"/>
      <c r="E32" s="38" t="n"/>
      <c r="F32" s="12" t="n"/>
      <c r="G32" s="27" t="n"/>
      <c r="H32" s="12" t="n"/>
    </row>
    <row r="33">
      <c r="A33" s="37">
        <f>IF(B33="","",ROW()-13)</f>
        <v/>
      </c>
      <c r="B33" s="12" t="n"/>
      <c r="C33" s="12" t="n"/>
      <c r="D33" s="12" t="n"/>
      <c r="E33" s="38" t="n"/>
      <c r="F33" s="12" t="n"/>
      <c r="G33" s="27" t="n"/>
      <c r="H33" s="12" t="n"/>
    </row>
    <row r="34">
      <c r="A34" s="37">
        <f>IF(B34="","",ROW()-13)</f>
        <v/>
      </c>
      <c r="B34" s="12" t="n"/>
      <c r="C34" s="12" t="n"/>
      <c r="D34" s="12" t="n"/>
      <c r="E34" s="38" t="n"/>
      <c r="F34" s="12" t="n"/>
      <c r="G34" s="27" t="n"/>
      <c r="H34" s="12" t="n"/>
    </row>
    <row r="35">
      <c r="A35" s="37">
        <f>IF(B35="","",ROW()-13)</f>
        <v/>
      </c>
      <c r="B35" s="12" t="n"/>
      <c r="C35" s="12" t="n"/>
      <c r="D35" s="12" t="n"/>
      <c r="E35" s="38" t="n"/>
      <c r="F35" s="12" t="n"/>
      <c r="G35" s="27" t="n"/>
      <c r="H35" s="12" t="n"/>
    </row>
    <row r="36">
      <c r="A36" s="37">
        <f>IF(B36="","",ROW()-13)</f>
        <v/>
      </c>
      <c r="B36" s="12" t="n"/>
      <c r="C36" s="12" t="n"/>
      <c r="D36" s="12" t="n"/>
      <c r="E36" s="38" t="n"/>
      <c r="F36" s="12" t="n"/>
      <c r="G36" s="27" t="n"/>
      <c r="H36" s="12" t="n"/>
    </row>
    <row r="37">
      <c r="A37" s="37">
        <f>IF(B37="","",ROW()-13)</f>
        <v/>
      </c>
      <c r="B37" s="12" t="n"/>
      <c r="C37" s="12" t="n"/>
      <c r="D37" s="12" t="n"/>
      <c r="E37" s="38" t="n"/>
      <c r="F37" s="12" t="n"/>
      <c r="G37" s="27" t="n"/>
      <c r="H37" s="12" t="n"/>
    </row>
    <row r="38">
      <c r="A38" s="37">
        <f>IF(B38="","",ROW()-13)</f>
        <v/>
      </c>
      <c r="B38" s="12" t="n"/>
      <c r="C38" s="12" t="n"/>
      <c r="D38" s="12" t="n"/>
      <c r="E38" s="38" t="n"/>
      <c r="F38" s="12" t="n"/>
      <c r="G38" s="27" t="n"/>
      <c r="H38" s="12" t="n"/>
    </row>
    <row r="39">
      <c r="A39" s="37">
        <f>IF(B39="","",ROW()-13)</f>
        <v/>
      </c>
      <c r="B39" s="12" t="n"/>
      <c r="C39" s="12" t="n"/>
      <c r="D39" s="12" t="n"/>
      <c r="E39" s="38" t="n"/>
      <c r="F39" s="12" t="n"/>
      <c r="G39" s="27" t="n"/>
      <c r="H39" s="12" t="n"/>
    </row>
    <row r="40">
      <c r="A40" s="37">
        <f>IF(B40="","",ROW()-13)</f>
        <v/>
      </c>
      <c r="B40" s="12" t="n"/>
      <c r="C40" s="12" t="n"/>
      <c r="D40" s="12" t="n"/>
      <c r="E40" s="38" t="n"/>
      <c r="F40" s="12" t="n"/>
      <c r="G40" s="27" t="n"/>
      <c r="H40" s="12" t="n"/>
    </row>
    <row r="41">
      <c r="A41" s="37">
        <f>IF(B41="","",ROW()-13)</f>
        <v/>
      </c>
      <c r="B41" s="12" t="n"/>
      <c r="C41" s="12" t="n"/>
      <c r="D41" s="12" t="n"/>
      <c r="E41" s="38" t="n"/>
      <c r="F41" s="12" t="n"/>
      <c r="G41" s="27" t="n"/>
      <c r="H41" s="12" t="n"/>
    </row>
    <row r="42">
      <c r="A42" s="37">
        <f>IF(B42="","",ROW()-13)</f>
        <v/>
      </c>
      <c r="B42" s="12" t="n"/>
      <c r="C42" s="12" t="n"/>
      <c r="D42" s="12" t="n"/>
      <c r="E42" s="38" t="n"/>
      <c r="F42" s="12" t="n"/>
      <c r="G42" s="27" t="n"/>
      <c r="H42" s="12" t="n"/>
    </row>
    <row r="43">
      <c r="A43" s="37">
        <f>IF(B43="","",ROW()-13)</f>
        <v/>
      </c>
      <c r="B43" s="12" t="n"/>
      <c r="C43" s="12" t="n"/>
      <c r="D43" s="12" t="n"/>
      <c r="E43" s="38" t="n"/>
      <c r="F43" s="12" t="n"/>
      <c r="G43" s="27" t="n"/>
      <c r="H43" s="12" t="n"/>
    </row>
    <row r="44">
      <c r="A44" s="37">
        <f>IF(B44="","",ROW()-13)</f>
        <v/>
      </c>
      <c r="B44" s="12" t="n"/>
      <c r="C44" s="12" t="n"/>
      <c r="D44" s="12" t="n"/>
      <c r="E44" s="38" t="n"/>
      <c r="F44" s="12" t="n"/>
      <c r="G44" s="27" t="n"/>
      <c r="H44" s="12" t="n"/>
    </row>
    <row r="45">
      <c r="A45" s="37">
        <f>IF(B45="","",ROW()-13)</f>
        <v/>
      </c>
      <c r="B45" s="12" t="n"/>
      <c r="C45" s="12" t="n"/>
      <c r="D45" s="12" t="n"/>
      <c r="E45" s="38" t="n"/>
      <c r="F45" s="12" t="n"/>
      <c r="G45" s="27" t="n"/>
      <c r="H45" s="12" t="n"/>
    </row>
    <row r="46">
      <c r="A46" s="37">
        <f>IF(B46="","",ROW()-13)</f>
        <v/>
      </c>
      <c r="B46" s="12" t="n"/>
      <c r="C46" s="12" t="n"/>
      <c r="D46" s="12" t="n"/>
      <c r="E46" s="38" t="n"/>
      <c r="F46" s="12" t="n"/>
      <c r="G46" s="27" t="n"/>
      <c r="H46" s="12" t="n"/>
    </row>
    <row r="47">
      <c r="A47" s="37">
        <f>IF(B47="","",ROW()-13)</f>
        <v/>
      </c>
      <c r="B47" s="12" t="n"/>
      <c r="C47" s="12" t="n"/>
      <c r="D47" s="12" t="n"/>
      <c r="E47" s="38" t="n"/>
      <c r="F47" s="12" t="n"/>
      <c r="G47" s="27" t="n"/>
      <c r="H47" s="12" t="n"/>
    </row>
    <row r="48">
      <c r="A48" s="37">
        <f>IF(B48="","",ROW()-13)</f>
        <v/>
      </c>
      <c r="B48" s="12" t="n"/>
      <c r="C48" s="12" t="n"/>
      <c r="D48" s="12" t="n"/>
      <c r="E48" s="38" t="n"/>
      <c r="F48" s="12" t="n"/>
      <c r="G48" s="27" t="n"/>
      <c r="H48" s="12" t="n"/>
    </row>
    <row r="49">
      <c r="A49" s="37">
        <f>IF(B49="","",ROW()-13)</f>
        <v/>
      </c>
      <c r="B49" s="12" t="n"/>
      <c r="C49" s="12" t="n"/>
      <c r="D49" s="12" t="n"/>
      <c r="E49" s="38" t="n"/>
      <c r="F49" s="12" t="n"/>
      <c r="G49" s="27" t="n"/>
      <c r="H49" s="12" t="n"/>
    </row>
    <row r="50">
      <c r="A50" s="37">
        <f>IF(B50="","",ROW()-13)</f>
        <v/>
      </c>
      <c r="B50" s="12" t="n"/>
      <c r="C50" s="12" t="n"/>
      <c r="D50" s="12" t="n"/>
      <c r="E50" s="38" t="n"/>
      <c r="F50" s="12" t="n"/>
      <c r="G50" s="27" t="n"/>
      <c r="H50" s="12" t="n"/>
    </row>
    <row r="51">
      <c r="A51" s="37">
        <f>IF(B51="","",ROW()-13)</f>
        <v/>
      </c>
      <c r="B51" s="12" t="n"/>
      <c r="C51" s="12" t="n"/>
      <c r="D51" s="12" t="n"/>
      <c r="E51" s="38" t="n"/>
      <c r="F51" s="12" t="n"/>
      <c r="G51" s="27" t="n"/>
      <c r="H51" s="12" t="n"/>
    </row>
    <row r="52">
      <c r="A52" s="37">
        <f>IF(B52="","",ROW()-13)</f>
        <v/>
      </c>
      <c r="B52" s="12" t="n"/>
      <c r="C52" s="12" t="n"/>
      <c r="D52" s="12" t="n"/>
      <c r="E52" s="38" t="n"/>
      <c r="F52" s="12" t="n"/>
      <c r="G52" s="27" t="n"/>
      <c r="H52" s="12" t="n"/>
    </row>
    <row r="53">
      <c r="A53" s="37">
        <f>IF(B53="","",ROW()-13)</f>
        <v/>
      </c>
      <c r="B53" s="12" t="n"/>
      <c r="C53" s="12" t="n"/>
      <c r="D53" s="12" t="n"/>
      <c r="E53" s="38" t="n"/>
      <c r="F53" s="12" t="n"/>
      <c r="G53" s="27" t="n"/>
      <c r="H53" s="12" t="n"/>
    </row>
    <row r="54">
      <c r="A54" s="37">
        <f>IF(B54="","",ROW()-13)</f>
        <v/>
      </c>
      <c r="B54" s="12" t="n"/>
      <c r="C54" s="12" t="n"/>
      <c r="D54" s="12" t="n"/>
      <c r="E54" s="38" t="n"/>
      <c r="F54" s="12" t="n"/>
      <c r="G54" s="27" t="n"/>
      <c r="H54" s="12" t="n"/>
    </row>
    <row r="55">
      <c r="A55" s="37">
        <f>IF(B55="","",ROW()-13)</f>
        <v/>
      </c>
      <c r="B55" s="12" t="n"/>
      <c r="C55" s="12" t="n"/>
      <c r="D55" s="12" t="n"/>
      <c r="E55" s="38" t="n"/>
      <c r="F55" s="12" t="n"/>
      <c r="G55" s="27" t="n"/>
      <c r="H55" s="12" t="n"/>
    </row>
    <row r="56">
      <c r="A56" s="37">
        <f>IF(B56="","",ROW()-13)</f>
        <v/>
      </c>
      <c r="B56" s="12" t="n"/>
      <c r="C56" s="12" t="n"/>
      <c r="D56" s="12" t="n"/>
      <c r="E56" s="38" t="n"/>
      <c r="F56" s="12" t="n"/>
      <c r="G56" s="27" t="n"/>
      <c r="H56" s="12" t="n"/>
    </row>
    <row r="57">
      <c r="A57" s="37">
        <f>IF(B57="","",ROW()-13)</f>
        <v/>
      </c>
      <c r="B57" s="12" t="n"/>
      <c r="C57" s="12" t="n"/>
      <c r="D57" s="12" t="n"/>
      <c r="E57" s="38" t="n"/>
      <c r="F57" s="12" t="n"/>
      <c r="G57" s="27" t="n"/>
      <c r="H57" s="12" t="n"/>
    </row>
    <row r="58">
      <c r="A58" s="37">
        <f>IF(B58="","",ROW()-13)</f>
        <v/>
      </c>
      <c r="B58" s="12" t="n"/>
      <c r="C58" s="12" t="n"/>
      <c r="D58" s="12" t="n"/>
      <c r="E58" s="38" t="n"/>
      <c r="F58" s="12" t="n"/>
      <c r="G58" s="27" t="n"/>
      <c r="H58" s="12" t="n"/>
    </row>
    <row r="59">
      <c r="A59" s="37">
        <f>IF(B59="","",ROW()-13)</f>
        <v/>
      </c>
      <c r="B59" s="12" t="n"/>
      <c r="C59" s="12" t="n"/>
      <c r="D59" s="12" t="n"/>
      <c r="E59" s="38" t="n"/>
      <c r="F59" s="12" t="n"/>
      <c r="G59" s="27" t="n"/>
      <c r="H59" s="12" t="n"/>
    </row>
    <row r="60">
      <c r="A60" s="37">
        <f>IF(B60="","",ROW()-13)</f>
        <v/>
      </c>
      <c r="B60" s="12" t="n"/>
      <c r="C60" s="12" t="n"/>
      <c r="D60" s="12" t="n"/>
      <c r="E60" s="38" t="n"/>
      <c r="F60" s="12" t="n"/>
      <c r="G60" s="27" t="n"/>
      <c r="H60" s="12" t="n"/>
    </row>
    <row r="61">
      <c r="A61" s="37">
        <f>IF(B61="","",ROW()-13)</f>
        <v/>
      </c>
      <c r="B61" s="12" t="n"/>
      <c r="C61" s="12" t="n"/>
      <c r="D61" s="12" t="n"/>
      <c r="E61" s="38" t="n"/>
      <c r="F61" s="12" t="n"/>
      <c r="G61" s="27" t="n"/>
      <c r="H61" s="12" t="n"/>
    </row>
    <row r="62">
      <c r="A62" s="37">
        <f>IF(B62="","",ROW()-13)</f>
        <v/>
      </c>
      <c r="B62" s="12" t="n"/>
      <c r="C62" s="12" t="n"/>
      <c r="D62" s="12" t="n"/>
      <c r="E62" s="38" t="n"/>
      <c r="F62" s="12" t="n"/>
      <c r="G62" s="27" t="n"/>
      <c r="H62" s="12" t="n"/>
    </row>
    <row r="63">
      <c r="A63" s="37">
        <f>IF(B63="","",ROW()-13)</f>
        <v/>
      </c>
      <c r="B63" s="12" t="n"/>
      <c r="C63" s="12" t="n"/>
      <c r="D63" s="12" t="n"/>
      <c r="E63" s="38" t="n"/>
      <c r="F63" s="12" t="n"/>
      <c r="G63" s="27" t="n"/>
      <c r="H63" s="12" t="n"/>
    </row>
    <row r="64">
      <c r="A64" s="32" t="n"/>
      <c r="B64" s="32" t="inlineStr">
        <is>
          <t>TOTAL (all rows)</t>
        </is>
      </c>
      <c r="C64" s="32" t="n"/>
      <c r="D64" s="32" t="n"/>
      <c r="E64" s="32" t="n"/>
      <c r="F64" s="32" t="n"/>
      <c r="G64" s="34">
        <f>SUM(G14:G63)</f>
        <v/>
      </c>
      <c r="H64" s="32" t="n"/>
    </row>
  </sheetData>
  <mergeCells count="2">
    <mergeCell ref="A2:H2"/>
    <mergeCell ref="A1:H1"/>
  </mergeCells>
  <conditionalFormatting sqref="B14:H63">
    <cfRule type="expression" priority="1" dxfId="2">
      <formula>MOD(ROW(),2)=0</formula>
    </cfRule>
  </conditionalFormatting>
  <conditionalFormatting sqref="F14:F63">
    <cfRule type="cellIs" priority="2" operator="equal" dxfId="3">
      <formula>"Planned"</formula>
    </cfRule>
    <cfRule type="cellIs" priority="3" operator="equal" dxfId="4">
      <formula>"Ordered"</formula>
    </cfRule>
    <cfRule type="cellIs" priority="4" operator="equal" dxfId="5">
      <formula>"Received"</formula>
    </cfRule>
  </conditionalFormatting>
  <dataValidations count="2">
    <dataValidation sqref="C14:C63" showDropDown="0" showInputMessage="0" showErrorMessage="1" allowBlank="1" type="list">
      <formula1>"Equipment,Tools,Legal &amp; Filing,Software (one-time),Furniture &amp; Storage,Other"</formula1>
    </dataValidation>
    <dataValidation sqref="F14:F63" showDropDown="0" showInputMessage="0" showErrorMessage="1" allowBlank="1" type="list">
      <formula1>"Planned,Ordered,Received"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7B29"/>
    <outlinePr summaryBelow="1" summaryRight="1"/>
    <pageSetUpPr/>
  </sheetPr>
  <dimension ref="A1:J21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6" customWidth="1" min="3" max="3"/>
    <col width="38" customWidth="1" min="4" max="4"/>
    <col width="12" customWidth="1" min="5" max="5"/>
    <col width="16" customWidth="1" min="6" max="6"/>
    <col width="28" customWidth="1" min="7" max="7"/>
    <col width="30" customWidth="1" min="9" max="9"/>
    <col width="13" customWidth="1" min="10" max="10"/>
  </cols>
  <sheetData>
    <row r="1" ht="26" customHeight="1">
      <c r="A1" s="1" t="inlineStr">
        <is>
          <t>Operating Costs — Everything You Keep Paying For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The running costs of doing business: materials, packaging, shipping, insurance, marketing, website, fees.</t>
        </is>
      </c>
      <c r="B2" s="2" t="n"/>
      <c r="C2" s="2" t="n"/>
      <c r="D2" s="2" t="n"/>
      <c r="E2" s="2" t="n"/>
      <c r="F2" s="2" t="n"/>
      <c r="G2" s="2" t="n"/>
    </row>
    <row r="4" ht="14" customHeight="1">
      <c r="A4" s="15" t="inlineStr">
        <is>
          <t>WHAT THIS TAB IS FOR:  logging every expense that is NOT one-time equipment. This is your day-to-day spending record.</t>
        </is>
      </c>
      <c r="B4" s="9" t="n"/>
      <c r="C4" s="9" t="n"/>
      <c r="D4" s="9" t="n"/>
      <c r="E4" s="9" t="n"/>
      <c r="F4" s="9" t="n"/>
      <c r="G4" s="9" t="n"/>
    </row>
    <row r="5" ht="14" customHeight="1">
      <c r="A5" s="16" t="inlineStr">
        <is>
          <t>WHAT GOES HERE (one row per purchase, on the date you pay):</t>
        </is>
      </c>
      <c r="B5" s="9" t="n"/>
      <c r="C5" s="9" t="n"/>
      <c r="D5" s="9" t="n"/>
      <c r="E5" s="9" t="n"/>
      <c r="F5" s="9" t="n"/>
      <c r="G5" s="9" t="n"/>
    </row>
    <row r="6" ht="14" customHeight="1">
      <c r="A6" s="16" t="inlineStr">
        <is>
          <t xml:space="preserve">   • Materials &amp; Product Supplies — resin, polypropylene, lenses, screws (also enter per-pair math on the COGS tab)</t>
        </is>
      </c>
      <c r="B6" s="9" t="n"/>
      <c r="C6" s="9" t="n"/>
      <c r="D6" s="9" t="n"/>
      <c r="E6" s="9" t="n"/>
      <c r="F6" s="9" t="n"/>
      <c r="G6" s="9" t="n"/>
    </row>
    <row r="7" ht="14" customHeight="1">
      <c r="A7" s="16" t="inlineStr">
        <is>
          <t xml:space="preserve">   • Packaging, Shipping &amp; Postage, Insurance, Marketing &amp; Ads, Website &amp; Software subscriptions, Business Fees &amp; Licenses</t>
        </is>
      </c>
      <c r="B7" s="9" t="n"/>
      <c r="C7" s="9" t="n"/>
      <c r="D7" s="9" t="n"/>
      <c r="E7" s="9" t="n"/>
      <c r="F7" s="9" t="n"/>
      <c r="G7" s="9" t="n"/>
    </row>
    <row r="8" ht="14" customHeight="1">
      <c r="A8" s="16" t="inlineStr">
        <is>
          <t>WHAT DOES NOT GO HERE:  one-time equipment (Capital tab).</t>
        </is>
      </c>
      <c r="B8" s="9" t="n"/>
      <c r="C8" s="9" t="n"/>
      <c r="D8" s="9" t="n"/>
      <c r="E8" s="9" t="n"/>
      <c r="F8" s="9" t="n"/>
      <c r="G8" s="9" t="n"/>
    </row>
    <row r="9" ht="14" customHeight="1">
      <c r="A9" s="16" t="inlineStr">
        <is>
          <t>HOW TO USE IT:  pick a Category from the dropdown — the Spending by Category box (right) totals itself and shows</t>
        </is>
      </c>
      <c r="B9" s="9" t="n"/>
      <c r="C9" s="9" t="n"/>
      <c r="D9" s="9" t="n"/>
      <c r="E9" s="9" t="n"/>
      <c r="F9" s="9" t="n"/>
      <c r="G9" s="9" t="n"/>
    </row>
    <row r="10" ht="14" customHeight="1">
      <c r="A10" s="16" t="inlineStr">
        <is>
          <t>where your money actually goes. The DATE matters: Monthly Cash Flow uses it to place spending in the right month.</t>
        </is>
      </c>
      <c r="B10" s="9" t="n"/>
      <c r="C10" s="9" t="n"/>
      <c r="D10" s="9" t="n"/>
      <c r="E10" s="9" t="n"/>
      <c r="F10" s="9" t="n"/>
      <c r="G10" s="9" t="n"/>
    </row>
    <row r="12" ht="28" customHeight="1">
      <c r="A12" s="26" t="inlineStr">
        <is>
          <t>Date Paid</t>
        </is>
      </c>
      <c r="B12" s="26" t="inlineStr">
        <is>
          <t>Expense</t>
        </is>
      </c>
      <c r="C12" s="26" t="inlineStr">
        <is>
          <t>Category</t>
        </is>
      </c>
      <c r="D12" s="26" t="inlineStr">
        <is>
          <t>Vendor / Link</t>
        </is>
      </c>
      <c r="E12" s="26" t="inlineStr">
        <is>
          <t>Amount</t>
        </is>
      </c>
      <c r="F12" s="26" t="inlineStr">
        <is>
          <t>Paid With</t>
        </is>
      </c>
      <c r="G12" s="26" t="inlineStr">
        <is>
          <t>Notes</t>
        </is>
      </c>
      <c r="I12" s="4" t="inlineStr">
        <is>
          <t>SPENDING BY CATEGORY (auto)</t>
        </is>
      </c>
      <c r="J12" s="5" t="n"/>
    </row>
    <row r="13">
      <c r="A13" s="38" t="n"/>
      <c r="B13" s="12" t="n"/>
      <c r="C13" s="12" t="n"/>
      <c r="D13" s="12" t="n"/>
      <c r="E13" s="27" t="n"/>
      <c r="F13" s="12" t="n"/>
      <c r="G13" s="12" t="n"/>
      <c r="I13" s="39" t="inlineStr">
        <is>
          <t>Materials &amp; Product Supplies</t>
        </is>
      </c>
      <c r="J13" s="40">
        <f>SUMIFS($E$13:$E$212,$C$13:$C$212,"Materials &amp; Product Supplies")</f>
        <v/>
      </c>
    </row>
    <row r="14">
      <c r="A14" s="38" t="n"/>
      <c r="B14" s="12" t="n"/>
      <c r="C14" s="12" t="n"/>
      <c r="D14" s="12" t="n"/>
      <c r="E14" s="27" t="n"/>
      <c r="F14" s="12" t="n"/>
      <c r="G14" s="12" t="n"/>
      <c r="I14" s="39" t="inlineStr">
        <is>
          <t>Packaging</t>
        </is>
      </c>
      <c r="J14" s="40">
        <f>SUMIFS($E$13:$E$212,$C$13:$C$212,"Packaging")</f>
        <v/>
      </c>
    </row>
    <row r="15">
      <c r="A15" s="38" t="n"/>
      <c r="B15" s="12" t="n"/>
      <c r="C15" s="12" t="n"/>
      <c r="D15" s="12" t="n"/>
      <c r="E15" s="27" t="n"/>
      <c r="F15" s="12" t="n"/>
      <c r="G15" s="12" t="n"/>
      <c r="I15" s="39" t="inlineStr">
        <is>
          <t>Shipping &amp; Postage</t>
        </is>
      </c>
      <c r="J15" s="40">
        <f>SUMIFS($E$13:$E$212,$C$13:$C$212,"Shipping &amp; Postage")</f>
        <v/>
      </c>
    </row>
    <row r="16">
      <c r="A16" s="38" t="n"/>
      <c r="B16" s="12" t="n"/>
      <c r="C16" s="12" t="n"/>
      <c r="D16" s="12" t="n"/>
      <c r="E16" s="27" t="n"/>
      <c r="F16" s="12" t="n"/>
      <c r="G16" s="12" t="n"/>
      <c r="I16" s="39" t="inlineStr">
        <is>
          <t>Insurance</t>
        </is>
      </c>
      <c r="J16" s="40">
        <f>SUMIFS($E$13:$E$212,$C$13:$C$212,"Insurance")</f>
        <v/>
      </c>
    </row>
    <row r="17">
      <c r="A17" s="38" t="n"/>
      <c r="B17" s="12" t="n"/>
      <c r="C17" s="12" t="n"/>
      <c r="D17" s="12" t="n"/>
      <c r="E17" s="27" t="n"/>
      <c r="F17" s="12" t="n"/>
      <c r="G17" s="12" t="n"/>
      <c r="I17" s="39" t="inlineStr">
        <is>
          <t>Marketing &amp; Ads</t>
        </is>
      </c>
      <c r="J17" s="40">
        <f>SUMIFS($E$13:$E$212,$C$13:$C$212,"Marketing &amp; Ads")</f>
        <v/>
      </c>
    </row>
    <row r="18">
      <c r="A18" s="38" t="n"/>
      <c r="B18" s="12" t="n"/>
      <c r="C18" s="12" t="n"/>
      <c r="D18" s="12" t="n"/>
      <c r="E18" s="27" t="n"/>
      <c r="F18" s="12" t="n"/>
      <c r="G18" s="12" t="n"/>
      <c r="I18" s="39" t="inlineStr">
        <is>
          <t>Website &amp; Software</t>
        </is>
      </c>
      <c r="J18" s="40">
        <f>SUMIFS($E$13:$E$212,$C$13:$C$212,"Website &amp; Software")</f>
        <v/>
      </c>
    </row>
    <row r="19">
      <c r="A19" s="38" t="n"/>
      <c r="B19" s="12" t="n"/>
      <c r="C19" s="12" t="n"/>
      <c r="D19" s="12" t="n"/>
      <c r="E19" s="27" t="n"/>
      <c r="F19" s="12" t="n"/>
      <c r="G19" s="12" t="n"/>
      <c r="I19" s="39" t="inlineStr">
        <is>
          <t>Business Fees &amp; Licenses</t>
        </is>
      </c>
      <c r="J19" s="40">
        <f>SUMIFS($E$13:$E$212,$C$13:$C$212,"Business Fees &amp; Licenses")</f>
        <v/>
      </c>
    </row>
    <row r="20">
      <c r="A20" s="38" t="n"/>
      <c r="B20" s="12" t="n"/>
      <c r="C20" s="12" t="n"/>
      <c r="D20" s="12" t="n"/>
      <c r="E20" s="27" t="n"/>
      <c r="F20" s="12" t="n"/>
      <c r="G20" s="12" t="n"/>
      <c r="I20" s="39" t="inlineStr">
        <is>
          <t>Equipment Repairs</t>
        </is>
      </c>
      <c r="J20" s="40">
        <f>SUMIFS($E$13:$E$212,$C$13:$C$212,"Equipment Repairs")</f>
        <v/>
      </c>
    </row>
    <row r="21">
      <c r="A21" s="38" t="n"/>
      <c r="B21" s="12" t="n"/>
      <c r="C21" s="12" t="n"/>
      <c r="D21" s="12" t="n"/>
      <c r="E21" s="27" t="n"/>
      <c r="F21" s="12" t="n"/>
      <c r="G21" s="12" t="n"/>
      <c r="I21" s="39" t="inlineStr">
        <is>
          <t>Travel</t>
        </is>
      </c>
      <c r="J21" s="40">
        <f>SUMIFS($E$13:$E$212,$C$13:$C$212,"Travel")</f>
        <v/>
      </c>
    </row>
    <row r="22">
      <c r="A22" s="38" t="n"/>
      <c r="B22" s="12" t="n"/>
      <c r="C22" s="12" t="n"/>
      <c r="D22" s="12" t="n"/>
      <c r="E22" s="27" t="n"/>
      <c r="F22" s="12" t="n"/>
      <c r="G22" s="12" t="n"/>
      <c r="I22" s="39" t="inlineStr">
        <is>
          <t>Other</t>
        </is>
      </c>
      <c r="J22" s="40">
        <f>SUMIFS($E$13:$E$212,$C$13:$C$212,"Other")</f>
        <v/>
      </c>
    </row>
    <row r="23">
      <c r="A23" s="38" t="n"/>
      <c r="B23" s="12" t="n"/>
      <c r="C23" s="12" t="n"/>
      <c r="D23" s="12" t="n"/>
      <c r="E23" s="27" t="n"/>
      <c r="F23" s="12" t="n"/>
      <c r="G23" s="12" t="n"/>
    </row>
    <row r="24">
      <c r="A24" s="38" t="n"/>
      <c r="B24" s="12" t="n"/>
      <c r="C24" s="12" t="n"/>
      <c r="D24" s="12" t="n"/>
      <c r="E24" s="27" t="n"/>
      <c r="F24" s="12" t="n"/>
      <c r="G24" s="12" t="n"/>
    </row>
    <row r="25">
      <c r="A25" s="38" t="n"/>
      <c r="B25" s="12" t="n"/>
      <c r="C25" s="12" t="n"/>
      <c r="D25" s="12" t="n"/>
      <c r="E25" s="27" t="n"/>
      <c r="F25" s="12" t="n"/>
      <c r="G25" s="12" t="n"/>
    </row>
    <row r="26">
      <c r="A26" s="38" t="n"/>
      <c r="B26" s="12" t="n"/>
      <c r="C26" s="12" t="n"/>
      <c r="D26" s="12" t="n"/>
      <c r="E26" s="27" t="n"/>
      <c r="F26" s="12" t="n"/>
      <c r="G26" s="12" t="n"/>
    </row>
    <row r="27">
      <c r="A27" s="38" t="n"/>
      <c r="B27" s="12" t="n"/>
      <c r="C27" s="12" t="n"/>
      <c r="D27" s="12" t="n"/>
      <c r="E27" s="27" t="n"/>
      <c r="F27" s="12" t="n"/>
      <c r="G27" s="12" t="n"/>
    </row>
    <row r="28">
      <c r="A28" s="38" t="n"/>
      <c r="B28" s="12" t="n"/>
      <c r="C28" s="12" t="n"/>
      <c r="D28" s="12" t="n"/>
      <c r="E28" s="27" t="n"/>
      <c r="F28" s="12" t="n"/>
      <c r="G28" s="12" t="n"/>
    </row>
    <row r="29">
      <c r="A29" s="38" t="n"/>
      <c r="B29" s="12" t="n"/>
      <c r="C29" s="12" t="n"/>
      <c r="D29" s="12" t="n"/>
      <c r="E29" s="27" t="n"/>
      <c r="F29" s="12" t="n"/>
      <c r="G29" s="12" t="n"/>
    </row>
    <row r="30">
      <c r="A30" s="38" t="n"/>
      <c r="B30" s="12" t="n"/>
      <c r="C30" s="12" t="n"/>
      <c r="D30" s="12" t="n"/>
      <c r="E30" s="27" t="n"/>
      <c r="F30" s="12" t="n"/>
      <c r="G30" s="12" t="n"/>
    </row>
    <row r="31">
      <c r="A31" s="38" t="n"/>
      <c r="B31" s="12" t="n"/>
      <c r="C31" s="12" t="n"/>
      <c r="D31" s="12" t="n"/>
      <c r="E31" s="27" t="n"/>
      <c r="F31" s="12" t="n"/>
      <c r="G31" s="12" t="n"/>
    </row>
    <row r="32">
      <c r="A32" s="38" t="n"/>
      <c r="B32" s="12" t="n"/>
      <c r="C32" s="12" t="n"/>
      <c r="D32" s="12" t="n"/>
      <c r="E32" s="27" t="n"/>
      <c r="F32" s="12" t="n"/>
      <c r="G32" s="12" t="n"/>
    </row>
    <row r="33">
      <c r="A33" s="38" t="n"/>
      <c r="B33" s="12" t="n"/>
      <c r="C33" s="12" t="n"/>
      <c r="D33" s="12" t="n"/>
      <c r="E33" s="27" t="n"/>
      <c r="F33" s="12" t="n"/>
      <c r="G33" s="12" t="n"/>
    </row>
    <row r="34">
      <c r="A34" s="38" t="n"/>
      <c r="B34" s="12" t="n"/>
      <c r="C34" s="12" t="n"/>
      <c r="D34" s="12" t="n"/>
      <c r="E34" s="27" t="n"/>
      <c r="F34" s="12" t="n"/>
      <c r="G34" s="12" t="n"/>
    </row>
    <row r="35">
      <c r="A35" s="38" t="n"/>
      <c r="B35" s="12" t="n"/>
      <c r="C35" s="12" t="n"/>
      <c r="D35" s="12" t="n"/>
      <c r="E35" s="27" t="n"/>
      <c r="F35" s="12" t="n"/>
      <c r="G35" s="12" t="n"/>
    </row>
    <row r="36">
      <c r="A36" s="38" t="n"/>
      <c r="B36" s="12" t="n"/>
      <c r="C36" s="12" t="n"/>
      <c r="D36" s="12" t="n"/>
      <c r="E36" s="27" t="n"/>
      <c r="F36" s="12" t="n"/>
      <c r="G36" s="12" t="n"/>
    </row>
    <row r="37">
      <c r="A37" s="38" t="n"/>
      <c r="B37" s="12" t="n"/>
      <c r="C37" s="12" t="n"/>
      <c r="D37" s="12" t="n"/>
      <c r="E37" s="27" t="n"/>
      <c r="F37" s="12" t="n"/>
      <c r="G37" s="12" t="n"/>
    </row>
    <row r="38">
      <c r="A38" s="38" t="n"/>
      <c r="B38" s="12" t="n"/>
      <c r="C38" s="12" t="n"/>
      <c r="D38" s="12" t="n"/>
      <c r="E38" s="27" t="n"/>
      <c r="F38" s="12" t="n"/>
      <c r="G38" s="12" t="n"/>
    </row>
    <row r="39">
      <c r="A39" s="38" t="n"/>
      <c r="B39" s="12" t="n"/>
      <c r="C39" s="12" t="n"/>
      <c r="D39" s="12" t="n"/>
      <c r="E39" s="27" t="n"/>
      <c r="F39" s="12" t="n"/>
      <c r="G39" s="12" t="n"/>
    </row>
    <row r="40">
      <c r="A40" s="38" t="n"/>
      <c r="B40" s="12" t="n"/>
      <c r="C40" s="12" t="n"/>
      <c r="D40" s="12" t="n"/>
      <c r="E40" s="27" t="n"/>
      <c r="F40" s="12" t="n"/>
      <c r="G40" s="12" t="n"/>
    </row>
    <row r="41">
      <c r="A41" s="38" t="n"/>
      <c r="B41" s="12" t="n"/>
      <c r="C41" s="12" t="n"/>
      <c r="D41" s="12" t="n"/>
      <c r="E41" s="27" t="n"/>
      <c r="F41" s="12" t="n"/>
      <c r="G41" s="12" t="n"/>
    </row>
    <row r="42">
      <c r="A42" s="38" t="n"/>
      <c r="B42" s="12" t="n"/>
      <c r="C42" s="12" t="n"/>
      <c r="D42" s="12" t="n"/>
      <c r="E42" s="27" t="n"/>
      <c r="F42" s="12" t="n"/>
      <c r="G42" s="12" t="n"/>
    </row>
    <row r="43">
      <c r="A43" s="38" t="n"/>
      <c r="B43" s="12" t="n"/>
      <c r="C43" s="12" t="n"/>
      <c r="D43" s="12" t="n"/>
      <c r="E43" s="27" t="n"/>
      <c r="F43" s="12" t="n"/>
      <c r="G43" s="12" t="n"/>
    </row>
    <row r="44">
      <c r="A44" s="38" t="n"/>
      <c r="B44" s="12" t="n"/>
      <c r="C44" s="12" t="n"/>
      <c r="D44" s="12" t="n"/>
      <c r="E44" s="27" t="n"/>
      <c r="F44" s="12" t="n"/>
      <c r="G44" s="12" t="n"/>
    </row>
    <row r="45">
      <c r="A45" s="38" t="n"/>
      <c r="B45" s="12" t="n"/>
      <c r="C45" s="12" t="n"/>
      <c r="D45" s="12" t="n"/>
      <c r="E45" s="27" t="n"/>
      <c r="F45" s="12" t="n"/>
      <c r="G45" s="12" t="n"/>
    </row>
    <row r="46">
      <c r="A46" s="38" t="n"/>
      <c r="B46" s="12" t="n"/>
      <c r="C46" s="12" t="n"/>
      <c r="D46" s="12" t="n"/>
      <c r="E46" s="27" t="n"/>
      <c r="F46" s="12" t="n"/>
      <c r="G46" s="12" t="n"/>
    </row>
    <row r="47">
      <c r="A47" s="38" t="n"/>
      <c r="B47" s="12" t="n"/>
      <c r="C47" s="12" t="n"/>
      <c r="D47" s="12" t="n"/>
      <c r="E47" s="27" t="n"/>
      <c r="F47" s="12" t="n"/>
      <c r="G47" s="12" t="n"/>
    </row>
    <row r="48">
      <c r="A48" s="38" t="n"/>
      <c r="B48" s="12" t="n"/>
      <c r="C48" s="12" t="n"/>
      <c r="D48" s="12" t="n"/>
      <c r="E48" s="27" t="n"/>
      <c r="F48" s="12" t="n"/>
      <c r="G48" s="12" t="n"/>
    </row>
    <row r="49">
      <c r="A49" s="38" t="n"/>
      <c r="B49" s="12" t="n"/>
      <c r="C49" s="12" t="n"/>
      <c r="D49" s="12" t="n"/>
      <c r="E49" s="27" t="n"/>
      <c r="F49" s="12" t="n"/>
      <c r="G49" s="12" t="n"/>
    </row>
    <row r="50">
      <c r="A50" s="38" t="n"/>
      <c r="B50" s="12" t="n"/>
      <c r="C50" s="12" t="n"/>
      <c r="D50" s="12" t="n"/>
      <c r="E50" s="27" t="n"/>
      <c r="F50" s="12" t="n"/>
      <c r="G50" s="12" t="n"/>
    </row>
    <row r="51">
      <c r="A51" s="38" t="n"/>
      <c r="B51" s="12" t="n"/>
      <c r="C51" s="12" t="n"/>
      <c r="D51" s="12" t="n"/>
      <c r="E51" s="27" t="n"/>
      <c r="F51" s="12" t="n"/>
      <c r="G51" s="12" t="n"/>
    </row>
    <row r="52">
      <c r="A52" s="38" t="n"/>
      <c r="B52" s="12" t="n"/>
      <c r="C52" s="12" t="n"/>
      <c r="D52" s="12" t="n"/>
      <c r="E52" s="27" t="n"/>
      <c r="F52" s="12" t="n"/>
      <c r="G52" s="12" t="n"/>
    </row>
    <row r="53">
      <c r="A53" s="38" t="n"/>
      <c r="B53" s="12" t="n"/>
      <c r="C53" s="12" t="n"/>
      <c r="D53" s="12" t="n"/>
      <c r="E53" s="27" t="n"/>
      <c r="F53" s="12" t="n"/>
      <c r="G53" s="12" t="n"/>
    </row>
    <row r="54">
      <c r="A54" s="38" t="n"/>
      <c r="B54" s="12" t="n"/>
      <c r="C54" s="12" t="n"/>
      <c r="D54" s="12" t="n"/>
      <c r="E54" s="27" t="n"/>
      <c r="F54" s="12" t="n"/>
      <c r="G54" s="12" t="n"/>
    </row>
    <row r="55">
      <c r="A55" s="38" t="n"/>
      <c r="B55" s="12" t="n"/>
      <c r="C55" s="12" t="n"/>
      <c r="D55" s="12" t="n"/>
      <c r="E55" s="27" t="n"/>
      <c r="F55" s="12" t="n"/>
      <c r="G55" s="12" t="n"/>
    </row>
    <row r="56">
      <c r="A56" s="38" t="n"/>
      <c r="B56" s="12" t="n"/>
      <c r="C56" s="12" t="n"/>
      <c r="D56" s="12" t="n"/>
      <c r="E56" s="27" t="n"/>
      <c r="F56" s="12" t="n"/>
      <c r="G56" s="12" t="n"/>
    </row>
    <row r="57">
      <c r="A57" s="38" t="n"/>
      <c r="B57" s="12" t="n"/>
      <c r="C57" s="12" t="n"/>
      <c r="D57" s="12" t="n"/>
      <c r="E57" s="27" t="n"/>
      <c r="F57" s="12" t="n"/>
      <c r="G57" s="12" t="n"/>
    </row>
    <row r="58">
      <c r="A58" s="38" t="n"/>
      <c r="B58" s="12" t="n"/>
      <c r="C58" s="12" t="n"/>
      <c r="D58" s="12" t="n"/>
      <c r="E58" s="27" t="n"/>
      <c r="F58" s="12" t="n"/>
      <c r="G58" s="12" t="n"/>
    </row>
    <row r="59">
      <c r="A59" s="38" t="n"/>
      <c r="B59" s="12" t="n"/>
      <c r="C59" s="12" t="n"/>
      <c r="D59" s="12" t="n"/>
      <c r="E59" s="27" t="n"/>
      <c r="F59" s="12" t="n"/>
      <c r="G59" s="12" t="n"/>
    </row>
    <row r="60">
      <c r="A60" s="38" t="n"/>
      <c r="B60" s="12" t="n"/>
      <c r="C60" s="12" t="n"/>
      <c r="D60" s="12" t="n"/>
      <c r="E60" s="27" t="n"/>
      <c r="F60" s="12" t="n"/>
      <c r="G60" s="12" t="n"/>
    </row>
    <row r="61">
      <c r="A61" s="38" t="n"/>
      <c r="B61" s="12" t="n"/>
      <c r="C61" s="12" t="n"/>
      <c r="D61" s="12" t="n"/>
      <c r="E61" s="27" t="n"/>
      <c r="F61" s="12" t="n"/>
      <c r="G61" s="12" t="n"/>
    </row>
    <row r="62">
      <c r="A62" s="38" t="n"/>
      <c r="B62" s="12" t="n"/>
      <c r="C62" s="12" t="n"/>
      <c r="D62" s="12" t="n"/>
      <c r="E62" s="27" t="n"/>
      <c r="F62" s="12" t="n"/>
      <c r="G62" s="12" t="n"/>
    </row>
    <row r="63">
      <c r="A63" s="38" t="n"/>
      <c r="B63" s="12" t="n"/>
      <c r="C63" s="12" t="n"/>
      <c r="D63" s="12" t="n"/>
      <c r="E63" s="27" t="n"/>
      <c r="F63" s="12" t="n"/>
      <c r="G63" s="12" t="n"/>
    </row>
    <row r="64">
      <c r="A64" s="38" t="n"/>
      <c r="B64" s="12" t="n"/>
      <c r="C64" s="12" t="n"/>
      <c r="D64" s="12" t="n"/>
      <c r="E64" s="27" t="n"/>
      <c r="F64" s="12" t="n"/>
      <c r="G64" s="12" t="n"/>
    </row>
    <row r="65">
      <c r="A65" s="38" t="n"/>
      <c r="B65" s="12" t="n"/>
      <c r="C65" s="12" t="n"/>
      <c r="D65" s="12" t="n"/>
      <c r="E65" s="27" t="n"/>
      <c r="F65" s="12" t="n"/>
      <c r="G65" s="12" t="n"/>
    </row>
    <row r="66">
      <c r="A66" s="38" t="n"/>
      <c r="B66" s="12" t="n"/>
      <c r="C66" s="12" t="n"/>
      <c r="D66" s="12" t="n"/>
      <c r="E66" s="27" t="n"/>
      <c r="F66" s="12" t="n"/>
      <c r="G66" s="12" t="n"/>
    </row>
    <row r="67">
      <c r="A67" s="38" t="n"/>
      <c r="B67" s="12" t="n"/>
      <c r="C67" s="12" t="n"/>
      <c r="D67" s="12" t="n"/>
      <c r="E67" s="27" t="n"/>
      <c r="F67" s="12" t="n"/>
      <c r="G67" s="12" t="n"/>
    </row>
    <row r="68">
      <c r="A68" s="38" t="n"/>
      <c r="B68" s="12" t="n"/>
      <c r="C68" s="12" t="n"/>
      <c r="D68" s="12" t="n"/>
      <c r="E68" s="27" t="n"/>
      <c r="F68" s="12" t="n"/>
      <c r="G68" s="12" t="n"/>
    </row>
    <row r="69">
      <c r="A69" s="38" t="n"/>
      <c r="B69" s="12" t="n"/>
      <c r="C69" s="12" t="n"/>
      <c r="D69" s="12" t="n"/>
      <c r="E69" s="27" t="n"/>
      <c r="F69" s="12" t="n"/>
      <c r="G69" s="12" t="n"/>
    </row>
    <row r="70">
      <c r="A70" s="38" t="n"/>
      <c r="B70" s="12" t="n"/>
      <c r="C70" s="12" t="n"/>
      <c r="D70" s="12" t="n"/>
      <c r="E70" s="27" t="n"/>
      <c r="F70" s="12" t="n"/>
      <c r="G70" s="12" t="n"/>
    </row>
    <row r="71">
      <c r="A71" s="38" t="n"/>
      <c r="B71" s="12" t="n"/>
      <c r="C71" s="12" t="n"/>
      <c r="D71" s="12" t="n"/>
      <c r="E71" s="27" t="n"/>
      <c r="F71" s="12" t="n"/>
      <c r="G71" s="12" t="n"/>
    </row>
    <row r="72">
      <c r="A72" s="38" t="n"/>
      <c r="B72" s="12" t="n"/>
      <c r="C72" s="12" t="n"/>
      <c r="D72" s="12" t="n"/>
      <c r="E72" s="27" t="n"/>
      <c r="F72" s="12" t="n"/>
      <c r="G72" s="12" t="n"/>
    </row>
    <row r="73">
      <c r="A73" s="38" t="n"/>
      <c r="B73" s="12" t="n"/>
      <c r="C73" s="12" t="n"/>
      <c r="D73" s="12" t="n"/>
      <c r="E73" s="27" t="n"/>
      <c r="F73" s="12" t="n"/>
      <c r="G73" s="12" t="n"/>
    </row>
    <row r="74">
      <c r="A74" s="38" t="n"/>
      <c r="B74" s="12" t="n"/>
      <c r="C74" s="12" t="n"/>
      <c r="D74" s="12" t="n"/>
      <c r="E74" s="27" t="n"/>
      <c r="F74" s="12" t="n"/>
      <c r="G74" s="12" t="n"/>
    </row>
    <row r="75">
      <c r="A75" s="38" t="n"/>
      <c r="B75" s="12" t="n"/>
      <c r="C75" s="12" t="n"/>
      <c r="D75" s="12" t="n"/>
      <c r="E75" s="27" t="n"/>
      <c r="F75" s="12" t="n"/>
      <c r="G75" s="12" t="n"/>
    </row>
    <row r="76">
      <c r="A76" s="38" t="n"/>
      <c r="B76" s="12" t="n"/>
      <c r="C76" s="12" t="n"/>
      <c r="D76" s="12" t="n"/>
      <c r="E76" s="27" t="n"/>
      <c r="F76" s="12" t="n"/>
      <c r="G76" s="12" t="n"/>
    </row>
    <row r="77">
      <c r="A77" s="38" t="n"/>
      <c r="B77" s="12" t="n"/>
      <c r="C77" s="12" t="n"/>
      <c r="D77" s="12" t="n"/>
      <c r="E77" s="27" t="n"/>
      <c r="F77" s="12" t="n"/>
      <c r="G77" s="12" t="n"/>
    </row>
    <row r="78">
      <c r="A78" s="38" t="n"/>
      <c r="B78" s="12" t="n"/>
      <c r="C78" s="12" t="n"/>
      <c r="D78" s="12" t="n"/>
      <c r="E78" s="27" t="n"/>
      <c r="F78" s="12" t="n"/>
      <c r="G78" s="12" t="n"/>
    </row>
    <row r="79">
      <c r="A79" s="38" t="n"/>
      <c r="B79" s="12" t="n"/>
      <c r="C79" s="12" t="n"/>
      <c r="D79" s="12" t="n"/>
      <c r="E79" s="27" t="n"/>
      <c r="F79" s="12" t="n"/>
      <c r="G79" s="12" t="n"/>
    </row>
    <row r="80">
      <c r="A80" s="38" t="n"/>
      <c r="B80" s="12" t="n"/>
      <c r="C80" s="12" t="n"/>
      <c r="D80" s="12" t="n"/>
      <c r="E80" s="27" t="n"/>
      <c r="F80" s="12" t="n"/>
      <c r="G80" s="12" t="n"/>
    </row>
    <row r="81">
      <c r="A81" s="38" t="n"/>
      <c r="B81" s="12" t="n"/>
      <c r="C81" s="12" t="n"/>
      <c r="D81" s="12" t="n"/>
      <c r="E81" s="27" t="n"/>
      <c r="F81" s="12" t="n"/>
      <c r="G81" s="12" t="n"/>
    </row>
    <row r="82">
      <c r="A82" s="38" t="n"/>
      <c r="B82" s="12" t="n"/>
      <c r="C82" s="12" t="n"/>
      <c r="D82" s="12" t="n"/>
      <c r="E82" s="27" t="n"/>
      <c r="F82" s="12" t="n"/>
      <c r="G82" s="12" t="n"/>
    </row>
    <row r="83">
      <c r="A83" s="38" t="n"/>
      <c r="B83" s="12" t="n"/>
      <c r="C83" s="12" t="n"/>
      <c r="D83" s="12" t="n"/>
      <c r="E83" s="27" t="n"/>
      <c r="F83" s="12" t="n"/>
      <c r="G83" s="12" t="n"/>
    </row>
    <row r="84">
      <c r="A84" s="38" t="n"/>
      <c r="B84" s="12" t="n"/>
      <c r="C84" s="12" t="n"/>
      <c r="D84" s="12" t="n"/>
      <c r="E84" s="27" t="n"/>
      <c r="F84" s="12" t="n"/>
      <c r="G84" s="12" t="n"/>
    </row>
    <row r="85">
      <c r="A85" s="38" t="n"/>
      <c r="B85" s="12" t="n"/>
      <c r="C85" s="12" t="n"/>
      <c r="D85" s="12" t="n"/>
      <c r="E85" s="27" t="n"/>
      <c r="F85" s="12" t="n"/>
      <c r="G85" s="12" t="n"/>
    </row>
    <row r="86">
      <c r="A86" s="38" t="n"/>
      <c r="B86" s="12" t="n"/>
      <c r="C86" s="12" t="n"/>
      <c r="D86" s="12" t="n"/>
      <c r="E86" s="27" t="n"/>
      <c r="F86" s="12" t="n"/>
      <c r="G86" s="12" t="n"/>
    </row>
    <row r="87">
      <c r="A87" s="38" t="n"/>
      <c r="B87" s="12" t="n"/>
      <c r="C87" s="12" t="n"/>
      <c r="D87" s="12" t="n"/>
      <c r="E87" s="27" t="n"/>
      <c r="F87" s="12" t="n"/>
      <c r="G87" s="12" t="n"/>
    </row>
    <row r="88">
      <c r="A88" s="38" t="n"/>
      <c r="B88" s="12" t="n"/>
      <c r="C88" s="12" t="n"/>
      <c r="D88" s="12" t="n"/>
      <c r="E88" s="27" t="n"/>
      <c r="F88" s="12" t="n"/>
      <c r="G88" s="12" t="n"/>
    </row>
    <row r="89">
      <c r="A89" s="38" t="n"/>
      <c r="B89" s="12" t="n"/>
      <c r="C89" s="12" t="n"/>
      <c r="D89" s="12" t="n"/>
      <c r="E89" s="27" t="n"/>
      <c r="F89" s="12" t="n"/>
      <c r="G89" s="12" t="n"/>
    </row>
    <row r="90">
      <c r="A90" s="38" t="n"/>
      <c r="B90" s="12" t="n"/>
      <c r="C90" s="12" t="n"/>
      <c r="D90" s="12" t="n"/>
      <c r="E90" s="27" t="n"/>
      <c r="F90" s="12" t="n"/>
      <c r="G90" s="12" t="n"/>
    </row>
    <row r="91">
      <c r="A91" s="38" t="n"/>
      <c r="B91" s="12" t="n"/>
      <c r="C91" s="12" t="n"/>
      <c r="D91" s="12" t="n"/>
      <c r="E91" s="27" t="n"/>
      <c r="F91" s="12" t="n"/>
      <c r="G91" s="12" t="n"/>
    </row>
    <row r="92">
      <c r="A92" s="38" t="n"/>
      <c r="B92" s="12" t="n"/>
      <c r="C92" s="12" t="n"/>
      <c r="D92" s="12" t="n"/>
      <c r="E92" s="27" t="n"/>
      <c r="F92" s="12" t="n"/>
      <c r="G92" s="12" t="n"/>
    </row>
    <row r="93">
      <c r="A93" s="38" t="n"/>
      <c r="B93" s="12" t="n"/>
      <c r="C93" s="12" t="n"/>
      <c r="D93" s="12" t="n"/>
      <c r="E93" s="27" t="n"/>
      <c r="F93" s="12" t="n"/>
      <c r="G93" s="12" t="n"/>
    </row>
    <row r="94">
      <c r="A94" s="38" t="n"/>
      <c r="B94" s="12" t="n"/>
      <c r="C94" s="12" t="n"/>
      <c r="D94" s="12" t="n"/>
      <c r="E94" s="27" t="n"/>
      <c r="F94" s="12" t="n"/>
      <c r="G94" s="12" t="n"/>
    </row>
    <row r="95">
      <c r="A95" s="38" t="n"/>
      <c r="B95" s="12" t="n"/>
      <c r="C95" s="12" t="n"/>
      <c r="D95" s="12" t="n"/>
      <c r="E95" s="27" t="n"/>
      <c r="F95" s="12" t="n"/>
      <c r="G95" s="12" t="n"/>
    </row>
    <row r="96">
      <c r="A96" s="38" t="n"/>
      <c r="B96" s="12" t="n"/>
      <c r="C96" s="12" t="n"/>
      <c r="D96" s="12" t="n"/>
      <c r="E96" s="27" t="n"/>
      <c r="F96" s="12" t="n"/>
      <c r="G96" s="12" t="n"/>
    </row>
    <row r="97">
      <c r="A97" s="38" t="n"/>
      <c r="B97" s="12" t="n"/>
      <c r="C97" s="12" t="n"/>
      <c r="D97" s="12" t="n"/>
      <c r="E97" s="27" t="n"/>
      <c r="F97" s="12" t="n"/>
      <c r="G97" s="12" t="n"/>
    </row>
    <row r="98">
      <c r="A98" s="38" t="n"/>
      <c r="B98" s="12" t="n"/>
      <c r="C98" s="12" t="n"/>
      <c r="D98" s="12" t="n"/>
      <c r="E98" s="27" t="n"/>
      <c r="F98" s="12" t="n"/>
      <c r="G98" s="12" t="n"/>
    </row>
    <row r="99">
      <c r="A99" s="38" t="n"/>
      <c r="B99" s="12" t="n"/>
      <c r="C99" s="12" t="n"/>
      <c r="D99" s="12" t="n"/>
      <c r="E99" s="27" t="n"/>
      <c r="F99" s="12" t="n"/>
      <c r="G99" s="12" t="n"/>
    </row>
    <row r="100">
      <c r="A100" s="38" t="n"/>
      <c r="B100" s="12" t="n"/>
      <c r="C100" s="12" t="n"/>
      <c r="D100" s="12" t="n"/>
      <c r="E100" s="27" t="n"/>
      <c r="F100" s="12" t="n"/>
      <c r="G100" s="12" t="n"/>
    </row>
    <row r="101">
      <c r="A101" s="38" t="n"/>
      <c r="B101" s="12" t="n"/>
      <c r="C101" s="12" t="n"/>
      <c r="D101" s="12" t="n"/>
      <c r="E101" s="27" t="n"/>
      <c r="F101" s="12" t="n"/>
      <c r="G101" s="12" t="n"/>
    </row>
    <row r="102">
      <c r="A102" s="38" t="n"/>
      <c r="B102" s="12" t="n"/>
      <c r="C102" s="12" t="n"/>
      <c r="D102" s="12" t="n"/>
      <c r="E102" s="27" t="n"/>
      <c r="F102" s="12" t="n"/>
      <c r="G102" s="12" t="n"/>
    </row>
    <row r="103">
      <c r="A103" s="38" t="n"/>
      <c r="B103" s="12" t="n"/>
      <c r="C103" s="12" t="n"/>
      <c r="D103" s="12" t="n"/>
      <c r="E103" s="27" t="n"/>
      <c r="F103" s="12" t="n"/>
      <c r="G103" s="12" t="n"/>
    </row>
    <row r="104">
      <c r="A104" s="38" t="n"/>
      <c r="B104" s="12" t="n"/>
      <c r="C104" s="12" t="n"/>
      <c r="D104" s="12" t="n"/>
      <c r="E104" s="27" t="n"/>
      <c r="F104" s="12" t="n"/>
      <c r="G104" s="12" t="n"/>
    </row>
    <row r="105">
      <c r="A105" s="38" t="n"/>
      <c r="B105" s="12" t="n"/>
      <c r="C105" s="12" t="n"/>
      <c r="D105" s="12" t="n"/>
      <c r="E105" s="27" t="n"/>
      <c r="F105" s="12" t="n"/>
      <c r="G105" s="12" t="n"/>
    </row>
    <row r="106">
      <c r="A106" s="38" t="n"/>
      <c r="B106" s="12" t="n"/>
      <c r="C106" s="12" t="n"/>
      <c r="D106" s="12" t="n"/>
      <c r="E106" s="27" t="n"/>
      <c r="F106" s="12" t="n"/>
      <c r="G106" s="12" t="n"/>
    </row>
    <row r="107">
      <c r="A107" s="38" t="n"/>
      <c r="B107" s="12" t="n"/>
      <c r="C107" s="12" t="n"/>
      <c r="D107" s="12" t="n"/>
      <c r="E107" s="27" t="n"/>
      <c r="F107" s="12" t="n"/>
      <c r="G107" s="12" t="n"/>
    </row>
    <row r="108">
      <c r="A108" s="38" t="n"/>
      <c r="B108" s="12" t="n"/>
      <c r="C108" s="12" t="n"/>
      <c r="D108" s="12" t="n"/>
      <c r="E108" s="27" t="n"/>
      <c r="F108" s="12" t="n"/>
      <c r="G108" s="12" t="n"/>
    </row>
    <row r="109">
      <c r="A109" s="38" t="n"/>
      <c r="B109" s="12" t="n"/>
      <c r="C109" s="12" t="n"/>
      <c r="D109" s="12" t="n"/>
      <c r="E109" s="27" t="n"/>
      <c r="F109" s="12" t="n"/>
      <c r="G109" s="12" t="n"/>
    </row>
    <row r="110">
      <c r="A110" s="38" t="n"/>
      <c r="B110" s="12" t="n"/>
      <c r="C110" s="12" t="n"/>
      <c r="D110" s="12" t="n"/>
      <c r="E110" s="27" t="n"/>
      <c r="F110" s="12" t="n"/>
      <c r="G110" s="12" t="n"/>
    </row>
    <row r="111">
      <c r="A111" s="38" t="n"/>
      <c r="B111" s="12" t="n"/>
      <c r="C111" s="12" t="n"/>
      <c r="D111" s="12" t="n"/>
      <c r="E111" s="27" t="n"/>
      <c r="F111" s="12" t="n"/>
      <c r="G111" s="12" t="n"/>
    </row>
    <row r="112">
      <c r="A112" s="38" t="n"/>
      <c r="B112" s="12" t="n"/>
      <c r="C112" s="12" t="n"/>
      <c r="D112" s="12" t="n"/>
      <c r="E112" s="27" t="n"/>
      <c r="F112" s="12" t="n"/>
      <c r="G112" s="12" t="n"/>
    </row>
    <row r="113">
      <c r="A113" s="38" t="n"/>
      <c r="B113" s="12" t="n"/>
      <c r="C113" s="12" t="n"/>
      <c r="D113" s="12" t="n"/>
      <c r="E113" s="27" t="n"/>
      <c r="F113" s="12" t="n"/>
      <c r="G113" s="12" t="n"/>
    </row>
    <row r="114">
      <c r="A114" s="38" t="n"/>
      <c r="B114" s="12" t="n"/>
      <c r="C114" s="12" t="n"/>
      <c r="D114" s="12" t="n"/>
      <c r="E114" s="27" t="n"/>
      <c r="F114" s="12" t="n"/>
      <c r="G114" s="12" t="n"/>
    </row>
    <row r="115">
      <c r="A115" s="38" t="n"/>
      <c r="B115" s="12" t="n"/>
      <c r="C115" s="12" t="n"/>
      <c r="D115" s="12" t="n"/>
      <c r="E115" s="27" t="n"/>
      <c r="F115" s="12" t="n"/>
      <c r="G115" s="12" t="n"/>
    </row>
    <row r="116">
      <c r="A116" s="38" t="n"/>
      <c r="B116" s="12" t="n"/>
      <c r="C116" s="12" t="n"/>
      <c r="D116" s="12" t="n"/>
      <c r="E116" s="27" t="n"/>
      <c r="F116" s="12" t="n"/>
      <c r="G116" s="12" t="n"/>
    </row>
    <row r="117">
      <c r="A117" s="38" t="n"/>
      <c r="B117" s="12" t="n"/>
      <c r="C117" s="12" t="n"/>
      <c r="D117" s="12" t="n"/>
      <c r="E117" s="27" t="n"/>
      <c r="F117" s="12" t="n"/>
      <c r="G117" s="12" t="n"/>
    </row>
    <row r="118">
      <c r="A118" s="38" t="n"/>
      <c r="B118" s="12" t="n"/>
      <c r="C118" s="12" t="n"/>
      <c r="D118" s="12" t="n"/>
      <c r="E118" s="27" t="n"/>
      <c r="F118" s="12" t="n"/>
      <c r="G118" s="12" t="n"/>
    </row>
    <row r="119">
      <c r="A119" s="38" t="n"/>
      <c r="B119" s="12" t="n"/>
      <c r="C119" s="12" t="n"/>
      <c r="D119" s="12" t="n"/>
      <c r="E119" s="27" t="n"/>
      <c r="F119" s="12" t="n"/>
      <c r="G119" s="12" t="n"/>
    </row>
    <row r="120">
      <c r="A120" s="38" t="n"/>
      <c r="B120" s="12" t="n"/>
      <c r="C120" s="12" t="n"/>
      <c r="D120" s="12" t="n"/>
      <c r="E120" s="27" t="n"/>
      <c r="F120" s="12" t="n"/>
      <c r="G120" s="12" t="n"/>
    </row>
    <row r="121">
      <c r="A121" s="38" t="n"/>
      <c r="B121" s="12" t="n"/>
      <c r="C121" s="12" t="n"/>
      <c r="D121" s="12" t="n"/>
      <c r="E121" s="27" t="n"/>
      <c r="F121" s="12" t="n"/>
      <c r="G121" s="12" t="n"/>
    </row>
    <row r="122">
      <c r="A122" s="38" t="n"/>
      <c r="B122" s="12" t="n"/>
      <c r="C122" s="12" t="n"/>
      <c r="D122" s="12" t="n"/>
      <c r="E122" s="27" t="n"/>
      <c r="F122" s="12" t="n"/>
      <c r="G122" s="12" t="n"/>
    </row>
    <row r="123">
      <c r="A123" s="38" t="n"/>
      <c r="B123" s="12" t="n"/>
      <c r="C123" s="12" t="n"/>
      <c r="D123" s="12" t="n"/>
      <c r="E123" s="27" t="n"/>
      <c r="F123" s="12" t="n"/>
      <c r="G123" s="12" t="n"/>
    </row>
    <row r="124">
      <c r="A124" s="38" t="n"/>
      <c r="B124" s="12" t="n"/>
      <c r="C124" s="12" t="n"/>
      <c r="D124" s="12" t="n"/>
      <c r="E124" s="27" t="n"/>
      <c r="F124" s="12" t="n"/>
      <c r="G124" s="12" t="n"/>
    </row>
    <row r="125">
      <c r="A125" s="38" t="n"/>
      <c r="B125" s="12" t="n"/>
      <c r="C125" s="12" t="n"/>
      <c r="D125" s="12" t="n"/>
      <c r="E125" s="27" t="n"/>
      <c r="F125" s="12" t="n"/>
      <c r="G125" s="12" t="n"/>
    </row>
    <row r="126">
      <c r="A126" s="38" t="n"/>
      <c r="B126" s="12" t="n"/>
      <c r="C126" s="12" t="n"/>
      <c r="D126" s="12" t="n"/>
      <c r="E126" s="27" t="n"/>
      <c r="F126" s="12" t="n"/>
      <c r="G126" s="12" t="n"/>
    </row>
    <row r="127">
      <c r="A127" s="38" t="n"/>
      <c r="B127" s="12" t="n"/>
      <c r="C127" s="12" t="n"/>
      <c r="D127" s="12" t="n"/>
      <c r="E127" s="27" t="n"/>
      <c r="F127" s="12" t="n"/>
      <c r="G127" s="12" t="n"/>
    </row>
    <row r="128">
      <c r="A128" s="38" t="n"/>
      <c r="B128" s="12" t="n"/>
      <c r="C128" s="12" t="n"/>
      <c r="D128" s="12" t="n"/>
      <c r="E128" s="27" t="n"/>
      <c r="F128" s="12" t="n"/>
      <c r="G128" s="12" t="n"/>
    </row>
    <row r="129">
      <c r="A129" s="38" t="n"/>
      <c r="B129" s="12" t="n"/>
      <c r="C129" s="12" t="n"/>
      <c r="D129" s="12" t="n"/>
      <c r="E129" s="27" t="n"/>
      <c r="F129" s="12" t="n"/>
      <c r="G129" s="12" t="n"/>
    </row>
    <row r="130">
      <c r="A130" s="38" t="n"/>
      <c r="B130" s="12" t="n"/>
      <c r="C130" s="12" t="n"/>
      <c r="D130" s="12" t="n"/>
      <c r="E130" s="27" t="n"/>
      <c r="F130" s="12" t="n"/>
      <c r="G130" s="12" t="n"/>
    </row>
    <row r="131">
      <c r="A131" s="38" t="n"/>
      <c r="B131" s="12" t="n"/>
      <c r="C131" s="12" t="n"/>
      <c r="D131" s="12" t="n"/>
      <c r="E131" s="27" t="n"/>
      <c r="F131" s="12" t="n"/>
      <c r="G131" s="12" t="n"/>
    </row>
    <row r="132">
      <c r="A132" s="38" t="n"/>
      <c r="B132" s="12" t="n"/>
      <c r="C132" s="12" t="n"/>
      <c r="D132" s="12" t="n"/>
      <c r="E132" s="27" t="n"/>
      <c r="F132" s="12" t="n"/>
      <c r="G132" s="12" t="n"/>
    </row>
    <row r="133">
      <c r="A133" s="38" t="n"/>
      <c r="B133" s="12" t="n"/>
      <c r="C133" s="12" t="n"/>
      <c r="D133" s="12" t="n"/>
      <c r="E133" s="27" t="n"/>
      <c r="F133" s="12" t="n"/>
      <c r="G133" s="12" t="n"/>
    </row>
    <row r="134">
      <c r="A134" s="38" t="n"/>
      <c r="B134" s="12" t="n"/>
      <c r="C134" s="12" t="n"/>
      <c r="D134" s="12" t="n"/>
      <c r="E134" s="27" t="n"/>
      <c r="F134" s="12" t="n"/>
      <c r="G134" s="12" t="n"/>
    </row>
    <row r="135">
      <c r="A135" s="38" t="n"/>
      <c r="B135" s="12" t="n"/>
      <c r="C135" s="12" t="n"/>
      <c r="D135" s="12" t="n"/>
      <c r="E135" s="27" t="n"/>
      <c r="F135" s="12" t="n"/>
      <c r="G135" s="12" t="n"/>
    </row>
    <row r="136">
      <c r="A136" s="38" t="n"/>
      <c r="B136" s="12" t="n"/>
      <c r="C136" s="12" t="n"/>
      <c r="D136" s="12" t="n"/>
      <c r="E136" s="27" t="n"/>
      <c r="F136" s="12" t="n"/>
      <c r="G136" s="12" t="n"/>
    </row>
    <row r="137">
      <c r="A137" s="38" t="n"/>
      <c r="B137" s="12" t="n"/>
      <c r="C137" s="12" t="n"/>
      <c r="D137" s="12" t="n"/>
      <c r="E137" s="27" t="n"/>
      <c r="F137" s="12" t="n"/>
      <c r="G137" s="12" t="n"/>
    </row>
    <row r="138">
      <c r="A138" s="38" t="n"/>
      <c r="B138" s="12" t="n"/>
      <c r="C138" s="12" t="n"/>
      <c r="D138" s="12" t="n"/>
      <c r="E138" s="27" t="n"/>
      <c r="F138" s="12" t="n"/>
      <c r="G138" s="12" t="n"/>
    </row>
    <row r="139">
      <c r="A139" s="38" t="n"/>
      <c r="B139" s="12" t="n"/>
      <c r="C139" s="12" t="n"/>
      <c r="D139" s="12" t="n"/>
      <c r="E139" s="27" t="n"/>
      <c r="F139" s="12" t="n"/>
      <c r="G139" s="12" t="n"/>
    </row>
    <row r="140">
      <c r="A140" s="38" t="n"/>
      <c r="B140" s="12" t="n"/>
      <c r="C140" s="12" t="n"/>
      <c r="D140" s="12" t="n"/>
      <c r="E140" s="27" t="n"/>
      <c r="F140" s="12" t="n"/>
      <c r="G140" s="12" t="n"/>
    </row>
    <row r="141">
      <c r="A141" s="38" t="n"/>
      <c r="B141" s="12" t="n"/>
      <c r="C141" s="12" t="n"/>
      <c r="D141" s="12" t="n"/>
      <c r="E141" s="27" t="n"/>
      <c r="F141" s="12" t="n"/>
      <c r="G141" s="12" t="n"/>
    </row>
    <row r="142">
      <c r="A142" s="38" t="n"/>
      <c r="B142" s="12" t="n"/>
      <c r="C142" s="12" t="n"/>
      <c r="D142" s="12" t="n"/>
      <c r="E142" s="27" t="n"/>
      <c r="F142" s="12" t="n"/>
      <c r="G142" s="12" t="n"/>
    </row>
    <row r="143">
      <c r="A143" s="38" t="n"/>
      <c r="B143" s="12" t="n"/>
      <c r="C143" s="12" t="n"/>
      <c r="D143" s="12" t="n"/>
      <c r="E143" s="27" t="n"/>
      <c r="F143" s="12" t="n"/>
      <c r="G143" s="12" t="n"/>
    </row>
    <row r="144">
      <c r="A144" s="38" t="n"/>
      <c r="B144" s="12" t="n"/>
      <c r="C144" s="12" t="n"/>
      <c r="D144" s="12" t="n"/>
      <c r="E144" s="27" t="n"/>
      <c r="F144" s="12" t="n"/>
      <c r="G144" s="12" t="n"/>
    </row>
    <row r="145">
      <c r="A145" s="38" t="n"/>
      <c r="B145" s="12" t="n"/>
      <c r="C145" s="12" t="n"/>
      <c r="D145" s="12" t="n"/>
      <c r="E145" s="27" t="n"/>
      <c r="F145" s="12" t="n"/>
      <c r="G145" s="12" t="n"/>
    </row>
    <row r="146">
      <c r="A146" s="38" t="n"/>
      <c r="B146" s="12" t="n"/>
      <c r="C146" s="12" t="n"/>
      <c r="D146" s="12" t="n"/>
      <c r="E146" s="27" t="n"/>
      <c r="F146" s="12" t="n"/>
      <c r="G146" s="12" t="n"/>
    </row>
    <row r="147">
      <c r="A147" s="38" t="n"/>
      <c r="B147" s="12" t="n"/>
      <c r="C147" s="12" t="n"/>
      <c r="D147" s="12" t="n"/>
      <c r="E147" s="27" t="n"/>
      <c r="F147" s="12" t="n"/>
      <c r="G147" s="12" t="n"/>
    </row>
    <row r="148">
      <c r="A148" s="38" t="n"/>
      <c r="B148" s="12" t="n"/>
      <c r="C148" s="12" t="n"/>
      <c r="D148" s="12" t="n"/>
      <c r="E148" s="27" t="n"/>
      <c r="F148" s="12" t="n"/>
      <c r="G148" s="12" t="n"/>
    </row>
    <row r="149">
      <c r="A149" s="38" t="n"/>
      <c r="B149" s="12" t="n"/>
      <c r="C149" s="12" t="n"/>
      <c r="D149" s="12" t="n"/>
      <c r="E149" s="27" t="n"/>
      <c r="F149" s="12" t="n"/>
      <c r="G149" s="12" t="n"/>
    </row>
    <row r="150">
      <c r="A150" s="38" t="n"/>
      <c r="B150" s="12" t="n"/>
      <c r="C150" s="12" t="n"/>
      <c r="D150" s="12" t="n"/>
      <c r="E150" s="27" t="n"/>
      <c r="F150" s="12" t="n"/>
      <c r="G150" s="12" t="n"/>
    </row>
    <row r="151">
      <c r="A151" s="38" t="n"/>
      <c r="B151" s="12" t="n"/>
      <c r="C151" s="12" t="n"/>
      <c r="D151" s="12" t="n"/>
      <c r="E151" s="27" t="n"/>
      <c r="F151" s="12" t="n"/>
      <c r="G151" s="12" t="n"/>
    </row>
    <row r="152">
      <c r="A152" s="38" t="n"/>
      <c r="B152" s="12" t="n"/>
      <c r="C152" s="12" t="n"/>
      <c r="D152" s="12" t="n"/>
      <c r="E152" s="27" t="n"/>
      <c r="F152" s="12" t="n"/>
      <c r="G152" s="12" t="n"/>
    </row>
    <row r="153">
      <c r="A153" s="38" t="n"/>
      <c r="B153" s="12" t="n"/>
      <c r="C153" s="12" t="n"/>
      <c r="D153" s="12" t="n"/>
      <c r="E153" s="27" t="n"/>
      <c r="F153" s="12" t="n"/>
      <c r="G153" s="12" t="n"/>
    </row>
    <row r="154">
      <c r="A154" s="38" t="n"/>
      <c r="B154" s="12" t="n"/>
      <c r="C154" s="12" t="n"/>
      <c r="D154" s="12" t="n"/>
      <c r="E154" s="27" t="n"/>
      <c r="F154" s="12" t="n"/>
      <c r="G154" s="12" t="n"/>
    </row>
    <row r="155">
      <c r="A155" s="38" t="n"/>
      <c r="B155" s="12" t="n"/>
      <c r="C155" s="12" t="n"/>
      <c r="D155" s="12" t="n"/>
      <c r="E155" s="27" t="n"/>
      <c r="F155" s="12" t="n"/>
      <c r="G155" s="12" t="n"/>
    </row>
    <row r="156">
      <c r="A156" s="38" t="n"/>
      <c r="B156" s="12" t="n"/>
      <c r="C156" s="12" t="n"/>
      <c r="D156" s="12" t="n"/>
      <c r="E156" s="27" t="n"/>
      <c r="F156" s="12" t="n"/>
      <c r="G156" s="12" t="n"/>
    </row>
    <row r="157">
      <c r="A157" s="38" t="n"/>
      <c r="B157" s="12" t="n"/>
      <c r="C157" s="12" t="n"/>
      <c r="D157" s="12" t="n"/>
      <c r="E157" s="27" t="n"/>
      <c r="F157" s="12" t="n"/>
      <c r="G157" s="12" t="n"/>
    </row>
    <row r="158">
      <c r="A158" s="38" t="n"/>
      <c r="B158" s="12" t="n"/>
      <c r="C158" s="12" t="n"/>
      <c r="D158" s="12" t="n"/>
      <c r="E158" s="27" t="n"/>
      <c r="F158" s="12" t="n"/>
      <c r="G158" s="12" t="n"/>
    </row>
    <row r="159">
      <c r="A159" s="38" t="n"/>
      <c r="B159" s="12" t="n"/>
      <c r="C159" s="12" t="n"/>
      <c r="D159" s="12" t="n"/>
      <c r="E159" s="27" t="n"/>
      <c r="F159" s="12" t="n"/>
      <c r="G159" s="12" t="n"/>
    </row>
    <row r="160">
      <c r="A160" s="38" t="n"/>
      <c r="B160" s="12" t="n"/>
      <c r="C160" s="12" t="n"/>
      <c r="D160" s="12" t="n"/>
      <c r="E160" s="27" t="n"/>
      <c r="F160" s="12" t="n"/>
      <c r="G160" s="12" t="n"/>
    </row>
    <row r="161">
      <c r="A161" s="38" t="n"/>
      <c r="B161" s="12" t="n"/>
      <c r="C161" s="12" t="n"/>
      <c r="D161" s="12" t="n"/>
      <c r="E161" s="27" t="n"/>
      <c r="F161" s="12" t="n"/>
      <c r="G161" s="12" t="n"/>
    </row>
    <row r="162">
      <c r="A162" s="38" t="n"/>
      <c r="B162" s="12" t="n"/>
      <c r="C162" s="12" t="n"/>
      <c r="D162" s="12" t="n"/>
      <c r="E162" s="27" t="n"/>
      <c r="F162" s="12" t="n"/>
      <c r="G162" s="12" t="n"/>
    </row>
    <row r="163">
      <c r="A163" s="38" t="n"/>
      <c r="B163" s="12" t="n"/>
      <c r="C163" s="12" t="n"/>
      <c r="D163" s="12" t="n"/>
      <c r="E163" s="27" t="n"/>
      <c r="F163" s="12" t="n"/>
      <c r="G163" s="12" t="n"/>
    </row>
    <row r="164">
      <c r="A164" s="38" t="n"/>
      <c r="B164" s="12" t="n"/>
      <c r="C164" s="12" t="n"/>
      <c r="D164" s="12" t="n"/>
      <c r="E164" s="27" t="n"/>
      <c r="F164" s="12" t="n"/>
      <c r="G164" s="12" t="n"/>
    </row>
    <row r="165">
      <c r="A165" s="38" t="n"/>
      <c r="B165" s="12" t="n"/>
      <c r="C165" s="12" t="n"/>
      <c r="D165" s="12" t="n"/>
      <c r="E165" s="27" t="n"/>
      <c r="F165" s="12" t="n"/>
      <c r="G165" s="12" t="n"/>
    </row>
    <row r="166">
      <c r="A166" s="38" t="n"/>
      <c r="B166" s="12" t="n"/>
      <c r="C166" s="12" t="n"/>
      <c r="D166" s="12" t="n"/>
      <c r="E166" s="27" t="n"/>
      <c r="F166" s="12" t="n"/>
      <c r="G166" s="12" t="n"/>
    </row>
    <row r="167">
      <c r="A167" s="38" t="n"/>
      <c r="B167" s="12" t="n"/>
      <c r="C167" s="12" t="n"/>
      <c r="D167" s="12" t="n"/>
      <c r="E167" s="27" t="n"/>
      <c r="F167" s="12" t="n"/>
      <c r="G167" s="12" t="n"/>
    </row>
    <row r="168">
      <c r="A168" s="38" t="n"/>
      <c r="B168" s="12" t="n"/>
      <c r="C168" s="12" t="n"/>
      <c r="D168" s="12" t="n"/>
      <c r="E168" s="27" t="n"/>
      <c r="F168" s="12" t="n"/>
      <c r="G168" s="12" t="n"/>
    </row>
    <row r="169">
      <c r="A169" s="38" t="n"/>
      <c r="B169" s="12" t="n"/>
      <c r="C169" s="12" t="n"/>
      <c r="D169" s="12" t="n"/>
      <c r="E169" s="27" t="n"/>
      <c r="F169" s="12" t="n"/>
      <c r="G169" s="12" t="n"/>
    </row>
    <row r="170">
      <c r="A170" s="38" t="n"/>
      <c r="B170" s="12" t="n"/>
      <c r="C170" s="12" t="n"/>
      <c r="D170" s="12" t="n"/>
      <c r="E170" s="27" t="n"/>
      <c r="F170" s="12" t="n"/>
      <c r="G170" s="12" t="n"/>
    </row>
    <row r="171">
      <c r="A171" s="38" t="n"/>
      <c r="B171" s="12" t="n"/>
      <c r="C171" s="12" t="n"/>
      <c r="D171" s="12" t="n"/>
      <c r="E171" s="27" t="n"/>
      <c r="F171" s="12" t="n"/>
      <c r="G171" s="12" t="n"/>
    </row>
    <row r="172">
      <c r="A172" s="38" t="n"/>
      <c r="B172" s="12" t="n"/>
      <c r="C172" s="12" t="n"/>
      <c r="D172" s="12" t="n"/>
      <c r="E172" s="27" t="n"/>
      <c r="F172" s="12" t="n"/>
      <c r="G172" s="12" t="n"/>
    </row>
    <row r="173">
      <c r="A173" s="38" t="n"/>
      <c r="B173" s="12" t="n"/>
      <c r="C173" s="12" t="n"/>
      <c r="D173" s="12" t="n"/>
      <c r="E173" s="27" t="n"/>
      <c r="F173" s="12" t="n"/>
      <c r="G173" s="12" t="n"/>
    </row>
    <row r="174">
      <c r="A174" s="38" t="n"/>
      <c r="B174" s="12" t="n"/>
      <c r="C174" s="12" t="n"/>
      <c r="D174" s="12" t="n"/>
      <c r="E174" s="27" t="n"/>
      <c r="F174" s="12" t="n"/>
      <c r="G174" s="12" t="n"/>
    </row>
    <row r="175">
      <c r="A175" s="38" t="n"/>
      <c r="B175" s="12" t="n"/>
      <c r="C175" s="12" t="n"/>
      <c r="D175" s="12" t="n"/>
      <c r="E175" s="27" t="n"/>
      <c r="F175" s="12" t="n"/>
      <c r="G175" s="12" t="n"/>
    </row>
    <row r="176">
      <c r="A176" s="38" t="n"/>
      <c r="B176" s="12" t="n"/>
      <c r="C176" s="12" t="n"/>
      <c r="D176" s="12" t="n"/>
      <c r="E176" s="27" t="n"/>
      <c r="F176" s="12" t="n"/>
      <c r="G176" s="12" t="n"/>
    </row>
    <row r="177">
      <c r="A177" s="38" t="n"/>
      <c r="B177" s="12" t="n"/>
      <c r="C177" s="12" t="n"/>
      <c r="D177" s="12" t="n"/>
      <c r="E177" s="27" t="n"/>
      <c r="F177" s="12" t="n"/>
      <c r="G177" s="12" t="n"/>
    </row>
    <row r="178">
      <c r="A178" s="38" t="n"/>
      <c r="B178" s="12" t="n"/>
      <c r="C178" s="12" t="n"/>
      <c r="D178" s="12" t="n"/>
      <c r="E178" s="27" t="n"/>
      <c r="F178" s="12" t="n"/>
      <c r="G178" s="12" t="n"/>
    </row>
    <row r="179">
      <c r="A179" s="38" t="n"/>
      <c r="B179" s="12" t="n"/>
      <c r="C179" s="12" t="n"/>
      <c r="D179" s="12" t="n"/>
      <c r="E179" s="27" t="n"/>
      <c r="F179" s="12" t="n"/>
      <c r="G179" s="12" t="n"/>
    </row>
    <row r="180">
      <c r="A180" s="38" t="n"/>
      <c r="B180" s="12" t="n"/>
      <c r="C180" s="12" t="n"/>
      <c r="D180" s="12" t="n"/>
      <c r="E180" s="27" t="n"/>
      <c r="F180" s="12" t="n"/>
      <c r="G180" s="12" t="n"/>
    </row>
    <row r="181">
      <c r="A181" s="38" t="n"/>
      <c r="B181" s="12" t="n"/>
      <c r="C181" s="12" t="n"/>
      <c r="D181" s="12" t="n"/>
      <c r="E181" s="27" t="n"/>
      <c r="F181" s="12" t="n"/>
      <c r="G181" s="12" t="n"/>
    </row>
    <row r="182">
      <c r="A182" s="38" t="n"/>
      <c r="B182" s="12" t="n"/>
      <c r="C182" s="12" t="n"/>
      <c r="D182" s="12" t="n"/>
      <c r="E182" s="27" t="n"/>
      <c r="F182" s="12" t="n"/>
      <c r="G182" s="12" t="n"/>
    </row>
    <row r="183">
      <c r="A183" s="38" t="n"/>
      <c r="B183" s="12" t="n"/>
      <c r="C183" s="12" t="n"/>
      <c r="D183" s="12" t="n"/>
      <c r="E183" s="27" t="n"/>
      <c r="F183" s="12" t="n"/>
      <c r="G183" s="12" t="n"/>
    </row>
    <row r="184">
      <c r="A184" s="38" t="n"/>
      <c r="B184" s="12" t="n"/>
      <c r="C184" s="12" t="n"/>
      <c r="D184" s="12" t="n"/>
      <c r="E184" s="27" t="n"/>
      <c r="F184" s="12" t="n"/>
      <c r="G184" s="12" t="n"/>
    </row>
    <row r="185">
      <c r="A185" s="38" t="n"/>
      <c r="B185" s="12" t="n"/>
      <c r="C185" s="12" t="n"/>
      <c r="D185" s="12" t="n"/>
      <c r="E185" s="27" t="n"/>
      <c r="F185" s="12" t="n"/>
      <c r="G185" s="12" t="n"/>
    </row>
    <row r="186">
      <c r="A186" s="38" t="n"/>
      <c r="B186" s="12" t="n"/>
      <c r="C186" s="12" t="n"/>
      <c r="D186" s="12" t="n"/>
      <c r="E186" s="27" t="n"/>
      <c r="F186" s="12" t="n"/>
      <c r="G186" s="12" t="n"/>
    </row>
    <row r="187">
      <c r="A187" s="38" t="n"/>
      <c r="B187" s="12" t="n"/>
      <c r="C187" s="12" t="n"/>
      <c r="D187" s="12" t="n"/>
      <c r="E187" s="27" t="n"/>
      <c r="F187" s="12" t="n"/>
      <c r="G187" s="12" t="n"/>
    </row>
    <row r="188">
      <c r="A188" s="38" t="n"/>
      <c r="B188" s="12" t="n"/>
      <c r="C188" s="12" t="n"/>
      <c r="D188" s="12" t="n"/>
      <c r="E188" s="27" t="n"/>
      <c r="F188" s="12" t="n"/>
      <c r="G188" s="12" t="n"/>
    </row>
    <row r="189">
      <c r="A189" s="38" t="n"/>
      <c r="B189" s="12" t="n"/>
      <c r="C189" s="12" t="n"/>
      <c r="D189" s="12" t="n"/>
      <c r="E189" s="27" t="n"/>
      <c r="F189" s="12" t="n"/>
      <c r="G189" s="12" t="n"/>
    </row>
    <row r="190">
      <c r="A190" s="38" t="n"/>
      <c r="B190" s="12" t="n"/>
      <c r="C190" s="12" t="n"/>
      <c r="D190" s="12" t="n"/>
      <c r="E190" s="27" t="n"/>
      <c r="F190" s="12" t="n"/>
      <c r="G190" s="12" t="n"/>
    </row>
    <row r="191">
      <c r="A191" s="38" t="n"/>
      <c r="B191" s="12" t="n"/>
      <c r="C191" s="12" t="n"/>
      <c r="D191" s="12" t="n"/>
      <c r="E191" s="27" t="n"/>
      <c r="F191" s="12" t="n"/>
      <c r="G191" s="12" t="n"/>
    </row>
    <row r="192">
      <c r="A192" s="38" t="n"/>
      <c r="B192" s="12" t="n"/>
      <c r="C192" s="12" t="n"/>
      <c r="D192" s="12" t="n"/>
      <c r="E192" s="27" t="n"/>
      <c r="F192" s="12" t="n"/>
      <c r="G192" s="12" t="n"/>
    </row>
    <row r="193">
      <c r="A193" s="38" t="n"/>
      <c r="B193" s="12" t="n"/>
      <c r="C193" s="12" t="n"/>
      <c r="D193" s="12" t="n"/>
      <c r="E193" s="27" t="n"/>
      <c r="F193" s="12" t="n"/>
      <c r="G193" s="12" t="n"/>
    </row>
    <row r="194">
      <c r="A194" s="38" t="n"/>
      <c r="B194" s="12" t="n"/>
      <c r="C194" s="12" t="n"/>
      <c r="D194" s="12" t="n"/>
      <c r="E194" s="27" t="n"/>
      <c r="F194" s="12" t="n"/>
      <c r="G194" s="12" t="n"/>
    </row>
    <row r="195">
      <c r="A195" s="38" t="n"/>
      <c r="B195" s="12" t="n"/>
      <c r="C195" s="12" t="n"/>
      <c r="D195" s="12" t="n"/>
      <c r="E195" s="27" t="n"/>
      <c r="F195" s="12" t="n"/>
      <c r="G195" s="12" t="n"/>
    </row>
    <row r="196">
      <c r="A196" s="38" t="n"/>
      <c r="B196" s="12" t="n"/>
      <c r="C196" s="12" t="n"/>
      <c r="D196" s="12" t="n"/>
      <c r="E196" s="27" t="n"/>
      <c r="F196" s="12" t="n"/>
      <c r="G196" s="12" t="n"/>
    </row>
    <row r="197">
      <c r="A197" s="38" t="n"/>
      <c r="B197" s="12" t="n"/>
      <c r="C197" s="12" t="n"/>
      <c r="D197" s="12" t="n"/>
      <c r="E197" s="27" t="n"/>
      <c r="F197" s="12" t="n"/>
      <c r="G197" s="12" t="n"/>
    </row>
    <row r="198">
      <c r="A198" s="38" t="n"/>
      <c r="B198" s="12" t="n"/>
      <c r="C198" s="12" t="n"/>
      <c r="D198" s="12" t="n"/>
      <c r="E198" s="27" t="n"/>
      <c r="F198" s="12" t="n"/>
      <c r="G198" s="12" t="n"/>
    </row>
    <row r="199">
      <c r="A199" s="38" t="n"/>
      <c r="B199" s="12" t="n"/>
      <c r="C199" s="12" t="n"/>
      <c r="D199" s="12" t="n"/>
      <c r="E199" s="27" t="n"/>
      <c r="F199" s="12" t="n"/>
      <c r="G199" s="12" t="n"/>
    </row>
    <row r="200">
      <c r="A200" s="38" t="n"/>
      <c r="B200" s="12" t="n"/>
      <c r="C200" s="12" t="n"/>
      <c r="D200" s="12" t="n"/>
      <c r="E200" s="27" t="n"/>
      <c r="F200" s="12" t="n"/>
      <c r="G200" s="12" t="n"/>
    </row>
    <row r="201">
      <c r="A201" s="38" t="n"/>
      <c r="B201" s="12" t="n"/>
      <c r="C201" s="12" t="n"/>
      <c r="D201" s="12" t="n"/>
      <c r="E201" s="27" t="n"/>
      <c r="F201" s="12" t="n"/>
      <c r="G201" s="12" t="n"/>
    </row>
    <row r="202">
      <c r="A202" s="38" t="n"/>
      <c r="B202" s="12" t="n"/>
      <c r="C202" s="12" t="n"/>
      <c r="D202" s="12" t="n"/>
      <c r="E202" s="27" t="n"/>
      <c r="F202" s="12" t="n"/>
      <c r="G202" s="12" t="n"/>
    </row>
    <row r="203">
      <c r="A203" s="38" t="n"/>
      <c r="B203" s="12" t="n"/>
      <c r="C203" s="12" t="n"/>
      <c r="D203" s="12" t="n"/>
      <c r="E203" s="27" t="n"/>
      <c r="F203" s="12" t="n"/>
      <c r="G203" s="12" t="n"/>
    </row>
    <row r="204">
      <c r="A204" s="38" t="n"/>
      <c r="B204" s="12" t="n"/>
      <c r="C204" s="12" t="n"/>
      <c r="D204" s="12" t="n"/>
      <c r="E204" s="27" t="n"/>
      <c r="F204" s="12" t="n"/>
      <c r="G204" s="12" t="n"/>
    </row>
    <row r="205">
      <c r="A205" s="38" t="n"/>
      <c r="B205" s="12" t="n"/>
      <c r="C205" s="12" t="n"/>
      <c r="D205" s="12" t="n"/>
      <c r="E205" s="27" t="n"/>
      <c r="F205" s="12" t="n"/>
      <c r="G205" s="12" t="n"/>
    </row>
    <row r="206">
      <c r="A206" s="38" t="n"/>
      <c r="B206" s="12" t="n"/>
      <c r="C206" s="12" t="n"/>
      <c r="D206" s="12" t="n"/>
      <c r="E206" s="27" t="n"/>
      <c r="F206" s="12" t="n"/>
      <c r="G206" s="12" t="n"/>
    </row>
    <row r="207">
      <c r="A207" s="38" t="n"/>
      <c r="B207" s="12" t="n"/>
      <c r="C207" s="12" t="n"/>
      <c r="D207" s="12" t="n"/>
      <c r="E207" s="27" t="n"/>
      <c r="F207" s="12" t="n"/>
      <c r="G207" s="12" t="n"/>
    </row>
    <row r="208">
      <c r="A208" s="38" t="n"/>
      <c r="B208" s="12" t="n"/>
      <c r="C208" s="12" t="n"/>
      <c r="D208" s="12" t="n"/>
      <c r="E208" s="27" t="n"/>
      <c r="F208" s="12" t="n"/>
      <c r="G208" s="12" t="n"/>
    </row>
    <row r="209">
      <c r="A209" s="38" t="n"/>
      <c r="B209" s="12" t="n"/>
      <c r="C209" s="12" t="n"/>
      <c r="D209" s="12" t="n"/>
      <c r="E209" s="27" t="n"/>
      <c r="F209" s="12" t="n"/>
      <c r="G209" s="12" t="n"/>
    </row>
    <row r="210">
      <c r="A210" s="38" t="n"/>
      <c r="B210" s="12" t="n"/>
      <c r="C210" s="12" t="n"/>
      <c r="D210" s="12" t="n"/>
      <c r="E210" s="27" t="n"/>
      <c r="F210" s="12" t="n"/>
      <c r="G210" s="12" t="n"/>
    </row>
    <row r="211">
      <c r="A211" s="38" t="n"/>
      <c r="B211" s="12" t="n"/>
      <c r="C211" s="12" t="n"/>
      <c r="D211" s="12" t="n"/>
      <c r="E211" s="27" t="n"/>
      <c r="F211" s="12" t="n"/>
      <c r="G211" s="12" t="n"/>
    </row>
    <row r="212">
      <c r="A212" s="38" t="n"/>
      <c r="B212" s="12" t="n"/>
      <c r="C212" s="12" t="n"/>
      <c r="D212" s="12" t="n"/>
      <c r="E212" s="27" t="n"/>
      <c r="F212" s="12" t="n"/>
      <c r="G212" s="12" t="n"/>
    </row>
    <row r="213">
      <c r="A213" s="32" t="n"/>
      <c r="B213" s="32" t="inlineStr">
        <is>
          <t>TOTAL OPERATING COSTS</t>
        </is>
      </c>
      <c r="C213" s="32" t="n"/>
      <c r="D213" s="32" t="n"/>
      <c r="E213" s="34">
        <f>SUM(E13:E212)</f>
        <v/>
      </c>
      <c r="F213" s="32" t="n"/>
      <c r="G213" s="32" t="n"/>
    </row>
  </sheetData>
  <mergeCells count="2">
    <mergeCell ref="A2:G2"/>
    <mergeCell ref="A1:G1"/>
  </mergeCells>
  <conditionalFormatting sqref="A13:G212">
    <cfRule type="expression" priority="1" dxfId="2">
      <formula>MOD(ROW(),2)=1</formula>
    </cfRule>
  </conditionalFormatting>
  <dataValidations count="2">
    <dataValidation sqref="C13:C212" showDropDown="0" showInputMessage="0" showErrorMessage="1" allowBlank="1" type="list">
      <formula1>"Materials &amp; Product Supplies,Packaging,Shipping &amp; Postage,Insurance,Marketing &amp; Ads,Website &amp; Software,Business Fees &amp; Licenses,Equipment Repairs,Travel,Other"</formula1>
    </dataValidation>
    <dataValidation sqref="F13:F212" showDropDown="0" showInputMessage="0" showErrorMessage="1" allowBlank="1" type="list">
      <formula1>"Cash,Debit Card,Credit Card,PayPal,Venmo,Bank Transfer,Other"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8B57"/>
    <outlinePr summaryBelow="1" summaryRight="1"/>
    <pageSetUpPr/>
  </sheetPr>
  <dimension ref="A1:I31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30" customWidth="1" min="4" max="4"/>
    <col width="13" customWidth="1" min="5" max="5"/>
    <col width="11" customWidth="1" min="6" max="6"/>
    <col width="13" customWidth="1" min="7" max="7"/>
    <col width="11" customWidth="1" min="8" max="8"/>
    <col width="28" customWidth="1" min="9" max="9"/>
  </cols>
  <sheetData>
    <row r="1" ht="26" customHeight="1">
      <c r="A1" s="1" t="inlineStr">
        <is>
          <t>Funding — Kickstarter, Donations &amp; Startup Money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Every dollar you raise to get BOYNT off the ground, and how close you are to your Kickstarter goal.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14" customHeight="1">
      <c r="A4" s="15" t="inlineStr">
        <is>
          <t>WHAT THIS TAB IS FOR:  tracking startup money you RAISE (not money you earn from regular sales — that's the Sales Log).</t>
        </is>
      </c>
      <c r="B4" s="9" t="n"/>
      <c r="C4" s="9" t="n"/>
      <c r="D4" s="9" t="n"/>
      <c r="E4" s="9" t="n"/>
      <c r="F4" s="9" t="n"/>
      <c r="G4" s="9" t="n"/>
      <c r="H4" s="9" t="n"/>
      <c r="I4" s="9" t="n"/>
    </row>
    <row r="5" ht="14" customHeight="1">
      <c r="A5" s="16" t="inlineStr">
        <is>
          <t>WHAT GOES HERE (one row per pledge/donation):  the date, the Type (dropdown), who it came from, what reward tier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 ht="14" customHeight="1">
      <c r="A6" s="16" t="inlineStr">
        <is>
          <t>they picked (for Kickstarter), the Gross Amount pledged, and any platform Fees. Net Amount calculates itself.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 ht="14" customHeight="1">
      <c r="A7" s="16" t="inlineStr">
        <is>
          <t>FEES:  Kickstarter keeps ~5% plus ~3-5% payment processing. Enter the actual fee so your Net is what really hits your bank.</t>
        </is>
      </c>
      <c r="B7" s="9" t="n"/>
      <c r="C7" s="9" t="n"/>
      <c r="D7" s="9" t="n"/>
      <c r="E7" s="9" t="n"/>
      <c r="F7" s="9" t="n"/>
      <c r="G7" s="9" t="n"/>
      <c r="H7" s="9" t="n"/>
      <c r="I7" s="9" t="n"/>
    </row>
    <row r="8" ht="14" customHeight="1">
      <c r="A8" s="16" t="inlineStr">
        <is>
          <t>RECEIVED?:  Kickstarter only pays out if the campaign succeeds, and donations can be promised before they arrive —</t>
        </is>
      </c>
      <c r="B8" s="9" t="n"/>
      <c r="C8" s="9" t="n"/>
      <c r="D8" s="9" t="n"/>
      <c r="E8" s="9" t="n"/>
      <c r="F8" s="9" t="n"/>
      <c r="G8" s="9" t="n"/>
      <c r="H8" s="9" t="n"/>
      <c r="I8" s="9" t="n"/>
    </row>
    <row r="9" ht="14" customHeight="1">
      <c r="A9" s="16" t="inlineStr">
        <is>
          <t>set Yes only once the money is actually yours. Set your Kickstarter Goal below and watch % of Goal climb.</t>
        </is>
      </c>
      <c r="B9" s="9" t="n"/>
      <c r="C9" s="9" t="n"/>
      <c r="D9" s="9" t="n"/>
      <c r="E9" s="9" t="n"/>
      <c r="F9" s="9" t="n"/>
      <c r="G9" s="9" t="n"/>
      <c r="H9" s="9" t="n"/>
      <c r="I9" s="9" t="n"/>
    </row>
    <row r="11">
      <c r="A11" s="6" t="inlineStr">
        <is>
          <t>Kickstarter Goal:</t>
        </is>
      </c>
      <c r="B11" s="41" t="n">
        <v>5000</v>
      </c>
      <c r="C11" s="6" t="inlineStr">
        <is>
          <t>Raised toward goal (KS net):</t>
        </is>
      </c>
      <c r="D11" s="36">
        <f>SUMIFS(G14:G313,B14:B313,"Kickstarter Pledge")</f>
        <v/>
      </c>
      <c r="E11" s="6" t="inlineStr">
        <is>
          <t>% of Goal:</t>
        </is>
      </c>
      <c r="F11" s="42">
        <f>IF($B$11=0,"",$D$11/$B$11)</f>
        <v/>
      </c>
    </row>
    <row r="13" ht="28" customHeight="1">
      <c r="A13" s="26" t="inlineStr">
        <is>
          <t>Date</t>
        </is>
      </c>
      <c r="B13" s="26" t="inlineStr">
        <is>
          <t>Type</t>
        </is>
      </c>
      <c r="C13" s="26" t="inlineStr">
        <is>
          <t>From (Backer / Donor)</t>
        </is>
      </c>
      <c r="D13" s="26" t="inlineStr">
        <is>
          <t>Description / Reward Tier</t>
        </is>
      </c>
      <c r="E13" s="26" t="inlineStr">
        <is>
          <t>Gross Amount</t>
        </is>
      </c>
      <c r="F13" s="26" t="inlineStr">
        <is>
          <t>Fees</t>
        </is>
      </c>
      <c r="G13" s="26" t="inlineStr">
        <is>
          <t>Net Amount (auto)</t>
        </is>
      </c>
      <c r="H13" s="26" t="inlineStr">
        <is>
          <t>Received?</t>
        </is>
      </c>
      <c r="I13" s="26" t="inlineStr">
        <is>
          <t>Notes</t>
        </is>
      </c>
    </row>
    <row r="14">
      <c r="A14" s="38" t="n"/>
      <c r="B14" s="12" t="n"/>
      <c r="C14" s="12" t="n"/>
      <c r="D14" s="12" t="n"/>
      <c r="E14" s="27" t="n"/>
      <c r="F14" s="27" t="n"/>
      <c r="G14" s="28">
        <f>IF(E14="","",E14-N(F14))</f>
        <v/>
      </c>
      <c r="H14" s="12" t="n"/>
      <c r="I14" s="12" t="n"/>
    </row>
    <row r="15">
      <c r="A15" s="38" t="n"/>
      <c r="B15" s="12" t="n"/>
      <c r="C15" s="12" t="n"/>
      <c r="D15" s="12" t="n"/>
      <c r="E15" s="27" t="n"/>
      <c r="F15" s="27" t="n"/>
      <c r="G15" s="28">
        <f>IF(E15="","",E15-N(F15))</f>
        <v/>
      </c>
      <c r="H15" s="12" t="n"/>
      <c r="I15" s="12" t="n"/>
    </row>
    <row r="16">
      <c r="A16" s="38" t="n"/>
      <c r="B16" s="12" t="n"/>
      <c r="C16" s="12" t="n"/>
      <c r="D16" s="12" t="n"/>
      <c r="E16" s="27" t="n"/>
      <c r="F16" s="27" t="n"/>
      <c r="G16" s="28">
        <f>IF(E16="","",E16-N(F16))</f>
        <v/>
      </c>
      <c r="H16" s="12" t="n"/>
      <c r="I16" s="12" t="n"/>
    </row>
    <row r="17">
      <c r="A17" s="38" t="n"/>
      <c r="B17" s="12" t="n"/>
      <c r="C17" s="12" t="n"/>
      <c r="D17" s="12" t="n"/>
      <c r="E17" s="27" t="n"/>
      <c r="F17" s="27" t="n"/>
      <c r="G17" s="28">
        <f>IF(E17="","",E17-N(F17))</f>
        <v/>
      </c>
      <c r="H17" s="12" t="n"/>
      <c r="I17" s="12" t="n"/>
    </row>
    <row r="18">
      <c r="A18" s="38" t="n"/>
      <c r="B18" s="12" t="n"/>
      <c r="C18" s="12" t="n"/>
      <c r="D18" s="12" t="n"/>
      <c r="E18" s="27" t="n"/>
      <c r="F18" s="27" t="n"/>
      <c r="G18" s="28">
        <f>IF(E18="","",E18-N(F18))</f>
        <v/>
      </c>
      <c r="H18" s="12" t="n"/>
      <c r="I18" s="12" t="n"/>
    </row>
    <row r="19">
      <c r="A19" s="38" t="n"/>
      <c r="B19" s="12" t="n"/>
      <c r="C19" s="12" t="n"/>
      <c r="D19" s="12" t="n"/>
      <c r="E19" s="27" t="n"/>
      <c r="F19" s="27" t="n"/>
      <c r="G19" s="28">
        <f>IF(E19="","",E19-N(F19))</f>
        <v/>
      </c>
      <c r="H19" s="12" t="n"/>
      <c r="I19" s="12" t="n"/>
    </row>
    <row r="20">
      <c r="A20" s="38" t="n"/>
      <c r="B20" s="12" t="n"/>
      <c r="C20" s="12" t="n"/>
      <c r="D20" s="12" t="n"/>
      <c r="E20" s="27" t="n"/>
      <c r="F20" s="27" t="n"/>
      <c r="G20" s="28">
        <f>IF(E20="","",E20-N(F20))</f>
        <v/>
      </c>
      <c r="H20" s="12" t="n"/>
      <c r="I20" s="12" t="n"/>
    </row>
    <row r="21">
      <c r="A21" s="38" t="n"/>
      <c r="B21" s="12" t="n"/>
      <c r="C21" s="12" t="n"/>
      <c r="D21" s="12" t="n"/>
      <c r="E21" s="27" t="n"/>
      <c r="F21" s="27" t="n"/>
      <c r="G21" s="28">
        <f>IF(E21="","",E21-N(F21))</f>
        <v/>
      </c>
      <c r="H21" s="12" t="n"/>
      <c r="I21" s="12" t="n"/>
    </row>
    <row r="22">
      <c r="A22" s="38" t="n"/>
      <c r="B22" s="12" t="n"/>
      <c r="C22" s="12" t="n"/>
      <c r="D22" s="12" t="n"/>
      <c r="E22" s="27" t="n"/>
      <c r="F22" s="27" t="n"/>
      <c r="G22" s="28">
        <f>IF(E22="","",E22-N(F22))</f>
        <v/>
      </c>
      <c r="H22" s="12" t="n"/>
      <c r="I22" s="12" t="n"/>
    </row>
    <row r="23">
      <c r="A23" s="38" t="n"/>
      <c r="B23" s="12" t="n"/>
      <c r="C23" s="12" t="n"/>
      <c r="D23" s="12" t="n"/>
      <c r="E23" s="27" t="n"/>
      <c r="F23" s="27" t="n"/>
      <c r="G23" s="28">
        <f>IF(E23="","",E23-N(F23))</f>
        <v/>
      </c>
      <c r="H23" s="12" t="n"/>
      <c r="I23" s="12" t="n"/>
    </row>
    <row r="24">
      <c r="A24" s="38" t="n"/>
      <c r="B24" s="12" t="n"/>
      <c r="C24" s="12" t="n"/>
      <c r="D24" s="12" t="n"/>
      <c r="E24" s="27" t="n"/>
      <c r="F24" s="27" t="n"/>
      <c r="G24" s="28">
        <f>IF(E24="","",E24-N(F24))</f>
        <v/>
      </c>
      <c r="H24" s="12" t="n"/>
      <c r="I24" s="12" t="n"/>
    </row>
    <row r="25">
      <c r="A25" s="38" t="n"/>
      <c r="B25" s="12" t="n"/>
      <c r="C25" s="12" t="n"/>
      <c r="D25" s="12" t="n"/>
      <c r="E25" s="27" t="n"/>
      <c r="F25" s="27" t="n"/>
      <c r="G25" s="28">
        <f>IF(E25="","",E25-N(F25))</f>
        <v/>
      </c>
      <c r="H25" s="12" t="n"/>
      <c r="I25" s="12" t="n"/>
    </row>
    <row r="26">
      <c r="A26" s="38" t="n"/>
      <c r="B26" s="12" t="n"/>
      <c r="C26" s="12" t="n"/>
      <c r="D26" s="12" t="n"/>
      <c r="E26" s="27" t="n"/>
      <c r="F26" s="27" t="n"/>
      <c r="G26" s="28">
        <f>IF(E26="","",E26-N(F26))</f>
        <v/>
      </c>
      <c r="H26" s="12" t="n"/>
      <c r="I26" s="12" t="n"/>
    </row>
    <row r="27">
      <c r="A27" s="38" t="n"/>
      <c r="B27" s="12" t="n"/>
      <c r="C27" s="12" t="n"/>
      <c r="D27" s="12" t="n"/>
      <c r="E27" s="27" t="n"/>
      <c r="F27" s="27" t="n"/>
      <c r="G27" s="28">
        <f>IF(E27="","",E27-N(F27))</f>
        <v/>
      </c>
      <c r="H27" s="12" t="n"/>
      <c r="I27" s="12" t="n"/>
    </row>
    <row r="28">
      <c r="A28" s="38" t="n"/>
      <c r="B28" s="12" t="n"/>
      <c r="C28" s="12" t="n"/>
      <c r="D28" s="12" t="n"/>
      <c r="E28" s="27" t="n"/>
      <c r="F28" s="27" t="n"/>
      <c r="G28" s="28">
        <f>IF(E28="","",E28-N(F28))</f>
        <v/>
      </c>
      <c r="H28" s="12" t="n"/>
      <c r="I28" s="12" t="n"/>
    </row>
    <row r="29">
      <c r="A29" s="38" t="n"/>
      <c r="B29" s="12" t="n"/>
      <c r="C29" s="12" t="n"/>
      <c r="D29" s="12" t="n"/>
      <c r="E29" s="27" t="n"/>
      <c r="F29" s="27" t="n"/>
      <c r="G29" s="28">
        <f>IF(E29="","",E29-N(F29))</f>
        <v/>
      </c>
      <c r="H29" s="12" t="n"/>
      <c r="I29" s="12" t="n"/>
    </row>
    <row r="30">
      <c r="A30" s="38" t="n"/>
      <c r="B30" s="12" t="n"/>
      <c r="C30" s="12" t="n"/>
      <c r="D30" s="12" t="n"/>
      <c r="E30" s="27" t="n"/>
      <c r="F30" s="27" t="n"/>
      <c r="G30" s="28">
        <f>IF(E30="","",E30-N(F30))</f>
        <v/>
      </c>
      <c r="H30" s="12" t="n"/>
      <c r="I30" s="12" t="n"/>
    </row>
    <row r="31">
      <c r="A31" s="38" t="n"/>
      <c r="B31" s="12" t="n"/>
      <c r="C31" s="12" t="n"/>
      <c r="D31" s="12" t="n"/>
      <c r="E31" s="27" t="n"/>
      <c r="F31" s="27" t="n"/>
      <c r="G31" s="28">
        <f>IF(E31="","",E31-N(F31))</f>
        <v/>
      </c>
      <c r="H31" s="12" t="n"/>
      <c r="I31" s="12" t="n"/>
    </row>
    <row r="32">
      <c r="A32" s="38" t="n"/>
      <c r="B32" s="12" t="n"/>
      <c r="C32" s="12" t="n"/>
      <c r="D32" s="12" t="n"/>
      <c r="E32" s="27" t="n"/>
      <c r="F32" s="27" t="n"/>
      <c r="G32" s="28">
        <f>IF(E32="","",E32-N(F32))</f>
        <v/>
      </c>
      <c r="H32" s="12" t="n"/>
      <c r="I32" s="12" t="n"/>
    </row>
    <row r="33">
      <c r="A33" s="38" t="n"/>
      <c r="B33" s="12" t="n"/>
      <c r="C33" s="12" t="n"/>
      <c r="D33" s="12" t="n"/>
      <c r="E33" s="27" t="n"/>
      <c r="F33" s="27" t="n"/>
      <c r="G33" s="28">
        <f>IF(E33="","",E33-N(F33))</f>
        <v/>
      </c>
      <c r="H33" s="12" t="n"/>
      <c r="I33" s="12" t="n"/>
    </row>
    <row r="34">
      <c r="A34" s="38" t="n"/>
      <c r="B34" s="12" t="n"/>
      <c r="C34" s="12" t="n"/>
      <c r="D34" s="12" t="n"/>
      <c r="E34" s="27" t="n"/>
      <c r="F34" s="27" t="n"/>
      <c r="G34" s="28">
        <f>IF(E34="","",E34-N(F34))</f>
        <v/>
      </c>
      <c r="H34" s="12" t="n"/>
      <c r="I34" s="12" t="n"/>
    </row>
    <row r="35">
      <c r="A35" s="38" t="n"/>
      <c r="B35" s="12" t="n"/>
      <c r="C35" s="12" t="n"/>
      <c r="D35" s="12" t="n"/>
      <c r="E35" s="27" t="n"/>
      <c r="F35" s="27" t="n"/>
      <c r="G35" s="28">
        <f>IF(E35="","",E35-N(F35))</f>
        <v/>
      </c>
      <c r="H35" s="12" t="n"/>
      <c r="I35" s="12" t="n"/>
    </row>
    <row r="36">
      <c r="A36" s="38" t="n"/>
      <c r="B36" s="12" t="n"/>
      <c r="C36" s="12" t="n"/>
      <c r="D36" s="12" t="n"/>
      <c r="E36" s="27" t="n"/>
      <c r="F36" s="27" t="n"/>
      <c r="G36" s="28">
        <f>IF(E36="","",E36-N(F36))</f>
        <v/>
      </c>
      <c r="H36" s="12" t="n"/>
      <c r="I36" s="12" t="n"/>
    </row>
    <row r="37">
      <c r="A37" s="38" t="n"/>
      <c r="B37" s="12" t="n"/>
      <c r="C37" s="12" t="n"/>
      <c r="D37" s="12" t="n"/>
      <c r="E37" s="27" t="n"/>
      <c r="F37" s="27" t="n"/>
      <c r="G37" s="28">
        <f>IF(E37="","",E37-N(F37))</f>
        <v/>
      </c>
      <c r="H37" s="12" t="n"/>
      <c r="I37" s="12" t="n"/>
    </row>
    <row r="38">
      <c r="A38" s="38" t="n"/>
      <c r="B38" s="12" t="n"/>
      <c r="C38" s="12" t="n"/>
      <c r="D38" s="12" t="n"/>
      <c r="E38" s="27" t="n"/>
      <c r="F38" s="27" t="n"/>
      <c r="G38" s="28">
        <f>IF(E38="","",E38-N(F38))</f>
        <v/>
      </c>
      <c r="H38" s="12" t="n"/>
      <c r="I38" s="12" t="n"/>
    </row>
    <row r="39">
      <c r="A39" s="38" t="n"/>
      <c r="B39" s="12" t="n"/>
      <c r="C39" s="12" t="n"/>
      <c r="D39" s="12" t="n"/>
      <c r="E39" s="27" t="n"/>
      <c r="F39" s="27" t="n"/>
      <c r="G39" s="28">
        <f>IF(E39="","",E39-N(F39))</f>
        <v/>
      </c>
      <c r="H39" s="12" t="n"/>
      <c r="I39" s="12" t="n"/>
    </row>
    <row r="40">
      <c r="A40" s="38" t="n"/>
      <c r="B40" s="12" t="n"/>
      <c r="C40" s="12" t="n"/>
      <c r="D40" s="12" t="n"/>
      <c r="E40" s="27" t="n"/>
      <c r="F40" s="27" t="n"/>
      <c r="G40" s="28">
        <f>IF(E40="","",E40-N(F40))</f>
        <v/>
      </c>
      <c r="H40" s="12" t="n"/>
      <c r="I40" s="12" t="n"/>
    </row>
    <row r="41">
      <c r="A41" s="38" t="n"/>
      <c r="B41" s="12" t="n"/>
      <c r="C41" s="12" t="n"/>
      <c r="D41" s="12" t="n"/>
      <c r="E41" s="27" t="n"/>
      <c r="F41" s="27" t="n"/>
      <c r="G41" s="28">
        <f>IF(E41="","",E41-N(F41))</f>
        <v/>
      </c>
      <c r="H41" s="12" t="n"/>
      <c r="I41" s="12" t="n"/>
    </row>
    <row r="42">
      <c r="A42" s="38" t="n"/>
      <c r="B42" s="12" t="n"/>
      <c r="C42" s="12" t="n"/>
      <c r="D42" s="12" t="n"/>
      <c r="E42" s="27" t="n"/>
      <c r="F42" s="27" t="n"/>
      <c r="G42" s="28">
        <f>IF(E42="","",E42-N(F42))</f>
        <v/>
      </c>
      <c r="H42" s="12" t="n"/>
      <c r="I42" s="12" t="n"/>
    </row>
    <row r="43">
      <c r="A43" s="38" t="n"/>
      <c r="B43" s="12" t="n"/>
      <c r="C43" s="12" t="n"/>
      <c r="D43" s="12" t="n"/>
      <c r="E43" s="27" t="n"/>
      <c r="F43" s="27" t="n"/>
      <c r="G43" s="28">
        <f>IF(E43="","",E43-N(F43))</f>
        <v/>
      </c>
      <c r="H43" s="12" t="n"/>
      <c r="I43" s="12" t="n"/>
    </row>
    <row r="44">
      <c r="A44" s="38" t="n"/>
      <c r="B44" s="12" t="n"/>
      <c r="C44" s="12" t="n"/>
      <c r="D44" s="12" t="n"/>
      <c r="E44" s="27" t="n"/>
      <c r="F44" s="27" t="n"/>
      <c r="G44" s="28">
        <f>IF(E44="","",E44-N(F44))</f>
        <v/>
      </c>
      <c r="H44" s="12" t="n"/>
      <c r="I44" s="12" t="n"/>
    </row>
    <row r="45">
      <c r="A45" s="38" t="n"/>
      <c r="B45" s="12" t="n"/>
      <c r="C45" s="12" t="n"/>
      <c r="D45" s="12" t="n"/>
      <c r="E45" s="27" t="n"/>
      <c r="F45" s="27" t="n"/>
      <c r="G45" s="28">
        <f>IF(E45="","",E45-N(F45))</f>
        <v/>
      </c>
      <c r="H45" s="12" t="n"/>
      <c r="I45" s="12" t="n"/>
    </row>
    <row r="46">
      <c r="A46" s="38" t="n"/>
      <c r="B46" s="12" t="n"/>
      <c r="C46" s="12" t="n"/>
      <c r="D46" s="12" t="n"/>
      <c r="E46" s="27" t="n"/>
      <c r="F46" s="27" t="n"/>
      <c r="G46" s="28">
        <f>IF(E46="","",E46-N(F46))</f>
        <v/>
      </c>
      <c r="H46" s="12" t="n"/>
      <c r="I46" s="12" t="n"/>
    </row>
    <row r="47">
      <c r="A47" s="38" t="n"/>
      <c r="B47" s="12" t="n"/>
      <c r="C47" s="12" t="n"/>
      <c r="D47" s="12" t="n"/>
      <c r="E47" s="27" t="n"/>
      <c r="F47" s="27" t="n"/>
      <c r="G47" s="28">
        <f>IF(E47="","",E47-N(F47))</f>
        <v/>
      </c>
      <c r="H47" s="12" t="n"/>
      <c r="I47" s="12" t="n"/>
    </row>
    <row r="48">
      <c r="A48" s="38" t="n"/>
      <c r="B48" s="12" t="n"/>
      <c r="C48" s="12" t="n"/>
      <c r="D48" s="12" t="n"/>
      <c r="E48" s="27" t="n"/>
      <c r="F48" s="27" t="n"/>
      <c r="G48" s="28">
        <f>IF(E48="","",E48-N(F48))</f>
        <v/>
      </c>
      <c r="H48" s="12" t="n"/>
      <c r="I48" s="12" t="n"/>
    </row>
    <row r="49">
      <c r="A49" s="38" t="n"/>
      <c r="B49" s="12" t="n"/>
      <c r="C49" s="12" t="n"/>
      <c r="D49" s="12" t="n"/>
      <c r="E49" s="27" t="n"/>
      <c r="F49" s="27" t="n"/>
      <c r="G49" s="28">
        <f>IF(E49="","",E49-N(F49))</f>
        <v/>
      </c>
      <c r="H49" s="12" t="n"/>
      <c r="I49" s="12" t="n"/>
    </row>
    <row r="50">
      <c r="A50" s="38" t="n"/>
      <c r="B50" s="12" t="n"/>
      <c r="C50" s="12" t="n"/>
      <c r="D50" s="12" t="n"/>
      <c r="E50" s="27" t="n"/>
      <c r="F50" s="27" t="n"/>
      <c r="G50" s="28">
        <f>IF(E50="","",E50-N(F50))</f>
        <v/>
      </c>
      <c r="H50" s="12" t="n"/>
      <c r="I50" s="12" t="n"/>
    </row>
    <row r="51">
      <c r="A51" s="38" t="n"/>
      <c r="B51" s="12" t="n"/>
      <c r="C51" s="12" t="n"/>
      <c r="D51" s="12" t="n"/>
      <c r="E51" s="27" t="n"/>
      <c r="F51" s="27" t="n"/>
      <c r="G51" s="28">
        <f>IF(E51="","",E51-N(F51))</f>
        <v/>
      </c>
      <c r="H51" s="12" t="n"/>
      <c r="I51" s="12" t="n"/>
    </row>
    <row r="52">
      <c r="A52" s="38" t="n"/>
      <c r="B52" s="12" t="n"/>
      <c r="C52" s="12" t="n"/>
      <c r="D52" s="12" t="n"/>
      <c r="E52" s="27" t="n"/>
      <c r="F52" s="27" t="n"/>
      <c r="G52" s="28">
        <f>IF(E52="","",E52-N(F52))</f>
        <v/>
      </c>
      <c r="H52" s="12" t="n"/>
      <c r="I52" s="12" t="n"/>
    </row>
    <row r="53">
      <c r="A53" s="38" t="n"/>
      <c r="B53" s="12" t="n"/>
      <c r="C53" s="12" t="n"/>
      <c r="D53" s="12" t="n"/>
      <c r="E53" s="27" t="n"/>
      <c r="F53" s="27" t="n"/>
      <c r="G53" s="28">
        <f>IF(E53="","",E53-N(F53))</f>
        <v/>
      </c>
      <c r="H53" s="12" t="n"/>
      <c r="I53" s="12" t="n"/>
    </row>
    <row r="54">
      <c r="A54" s="38" t="n"/>
      <c r="B54" s="12" t="n"/>
      <c r="C54" s="12" t="n"/>
      <c r="D54" s="12" t="n"/>
      <c r="E54" s="27" t="n"/>
      <c r="F54" s="27" t="n"/>
      <c r="G54" s="28">
        <f>IF(E54="","",E54-N(F54))</f>
        <v/>
      </c>
      <c r="H54" s="12" t="n"/>
      <c r="I54" s="12" t="n"/>
    </row>
    <row r="55">
      <c r="A55" s="38" t="n"/>
      <c r="B55" s="12" t="n"/>
      <c r="C55" s="12" t="n"/>
      <c r="D55" s="12" t="n"/>
      <c r="E55" s="27" t="n"/>
      <c r="F55" s="27" t="n"/>
      <c r="G55" s="28">
        <f>IF(E55="","",E55-N(F55))</f>
        <v/>
      </c>
      <c r="H55" s="12" t="n"/>
      <c r="I55" s="12" t="n"/>
    </row>
    <row r="56">
      <c r="A56" s="38" t="n"/>
      <c r="B56" s="12" t="n"/>
      <c r="C56" s="12" t="n"/>
      <c r="D56" s="12" t="n"/>
      <c r="E56" s="27" t="n"/>
      <c r="F56" s="27" t="n"/>
      <c r="G56" s="28">
        <f>IF(E56="","",E56-N(F56))</f>
        <v/>
      </c>
      <c r="H56" s="12" t="n"/>
      <c r="I56" s="12" t="n"/>
    </row>
    <row r="57">
      <c r="A57" s="38" t="n"/>
      <c r="B57" s="12" t="n"/>
      <c r="C57" s="12" t="n"/>
      <c r="D57" s="12" t="n"/>
      <c r="E57" s="27" t="n"/>
      <c r="F57" s="27" t="n"/>
      <c r="G57" s="28">
        <f>IF(E57="","",E57-N(F57))</f>
        <v/>
      </c>
      <c r="H57" s="12" t="n"/>
      <c r="I57" s="12" t="n"/>
    </row>
    <row r="58">
      <c r="A58" s="38" t="n"/>
      <c r="B58" s="12" t="n"/>
      <c r="C58" s="12" t="n"/>
      <c r="D58" s="12" t="n"/>
      <c r="E58" s="27" t="n"/>
      <c r="F58" s="27" t="n"/>
      <c r="G58" s="28">
        <f>IF(E58="","",E58-N(F58))</f>
        <v/>
      </c>
      <c r="H58" s="12" t="n"/>
      <c r="I58" s="12" t="n"/>
    </row>
    <row r="59">
      <c r="A59" s="38" t="n"/>
      <c r="B59" s="12" t="n"/>
      <c r="C59" s="12" t="n"/>
      <c r="D59" s="12" t="n"/>
      <c r="E59" s="27" t="n"/>
      <c r="F59" s="27" t="n"/>
      <c r="G59" s="28">
        <f>IF(E59="","",E59-N(F59))</f>
        <v/>
      </c>
      <c r="H59" s="12" t="n"/>
      <c r="I59" s="12" t="n"/>
    </row>
    <row r="60">
      <c r="A60" s="38" t="n"/>
      <c r="B60" s="12" t="n"/>
      <c r="C60" s="12" t="n"/>
      <c r="D60" s="12" t="n"/>
      <c r="E60" s="27" t="n"/>
      <c r="F60" s="27" t="n"/>
      <c r="G60" s="28">
        <f>IF(E60="","",E60-N(F60))</f>
        <v/>
      </c>
      <c r="H60" s="12" t="n"/>
      <c r="I60" s="12" t="n"/>
    </row>
    <row r="61">
      <c r="A61" s="38" t="n"/>
      <c r="B61" s="12" t="n"/>
      <c r="C61" s="12" t="n"/>
      <c r="D61" s="12" t="n"/>
      <c r="E61" s="27" t="n"/>
      <c r="F61" s="27" t="n"/>
      <c r="G61" s="28">
        <f>IF(E61="","",E61-N(F61))</f>
        <v/>
      </c>
      <c r="H61" s="12" t="n"/>
      <c r="I61" s="12" t="n"/>
    </row>
    <row r="62">
      <c r="A62" s="38" t="n"/>
      <c r="B62" s="12" t="n"/>
      <c r="C62" s="12" t="n"/>
      <c r="D62" s="12" t="n"/>
      <c r="E62" s="27" t="n"/>
      <c r="F62" s="27" t="n"/>
      <c r="G62" s="28">
        <f>IF(E62="","",E62-N(F62))</f>
        <v/>
      </c>
      <c r="H62" s="12" t="n"/>
      <c r="I62" s="12" t="n"/>
    </row>
    <row r="63">
      <c r="A63" s="38" t="n"/>
      <c r="B63" s="12" t="n"/>
      <c r="C63" s="12" t="n"/>
      <c r="D63" s="12" t="n"/>
      <c r="E63" s="27" t="n"/>
      <c r="F63" s="27" t="n"/>
      <c r="G63" s="28">
        <f>IF(E63="","",E63-N(F63))</f>
        <v/>
      </c>
      <c r="H63" s="12" t="n"/>
      <c r="I63" s="12" t="n"/>
    </row>
    <row r="64">
      <c r="A64" s="38" t="n"/>
      <c r="B64" s="12" t="n"/>
      <c r="C64" s="12" t="n"/>
      <c r="D64" s="12" t="n"/>
      <c r="E64" s="27" t="n"/>
      <c r="F64" s="27" t="n"/>
      <c r="G64" s="28">
        <f>IF(E64="","",E64-N(F64))</f>
        <v/>
      </c>
      <c r="H64" s="12" t="n"/>
      <c r="I64" s="12" t="n"/>
    </row>
    <row r="65">
      <c r="A65" s="38" t="n"/>
      <c r="B65" s="12" t="n"/>
      <c r="C65" s="12" t="n"/>
      <c r="D65" s="12" t="n"/>
      <c r="E65" s="27" t="n"/>
      <c r="F65" s="27" t="n"/>
      <c r="G65" s="28">
        <f>IF(E65="","",E65-N(F65))</f>
        <v/>
      </c>
      <c r="H65" s="12" t="n"/>
      <c r="I65" s="12" t="n"/>
    </row>
    <row r="66">
      <c r="A66" s="38" t="n"/>
      <c r="B66" s="12" t="n"/>
      <c r="C66" s="12" t="n"/>
      <c r="D66" s="12" t="n"/>
      <c r="E66" s="27" t="n"/>
      <c r="F66" s="27" t="n"/>
      <c r="G66" s="28">
        <f>IF(E66="","",E66-N(F66))</f>
        <v/>
      </c>
      <c r="H66" s="12" t="n"/>
      <c r="I66" s="12" t="n"/>
    </row>
    <row r="67">
      <c r="A67" s="38" t="n"/>
      <c r="B67" s="12" t="n"/>
      <c r="C67" s="12" t="n"/>
      <c r="D67" s="12" t="n"/>
      <c r="E67" s="27" t="n"/>
      <c r="F67" s="27" t="n"/>
      <c r="G67" s="28">
        <f>IF(E67="","",E67-N(F67))</f>
        <v/>
      </c>
      <c r="H67" s="12" t="n"/>
      <c r="I67" s="12" t="n"/>
    </row>
    <row r="68">
      <c r="A68" s="38" t="n"/>
      <c r="B68" s="12" t="n"/>
      <c r="C68" s="12" t="n"/>
      <c r="D68" s="12" t="n"/>
      <c r="E68" s="27" t="n"/>
      <c r="F68" s="27" t="n"/>
      <c r="G68" s="28">
        <f>IF(E68="","",E68-N(F68))</f>
        <v/>
      </c>
      <c r="H68" s="12" t="n"/>
      <c r="I68" s="12" t="n"/>
    </row>
    <row r="69">
      <c r="A69" s="38" t="n"/>
      <c r="B69" s="12" t="n"/>
      <c r="C69" s="12" t="n"/>
      <c r="D69" s="12" t="n"/>
      <c r="E69" s="27" t="n"/>
      <c r="F69" s="27" t="n"/>
      <c r="G69" s="28">
        <f>IF(E69="","",E69-N(F69))</f>
        <v/>
      </c>
      <c r="H69" s="12" t="n"/>
      <c r="I69" s="12" t="n"/>
    </row>
    <row r="70">
      <c r="A70" s="38" t="n"/>
      <c r="B70" s="12" t="n"/>
      <c r="C70" s="12" t="n"/>
      <c r="D70" s="12" t="n"/>
      <c r="E70" s="27" t="n"/>
      <c r="F70" s="27" t="n"/>
      <c r="G70" s="28">
        <f>IF(E70="","",E70-N(F70))</f>
        <v/>
      </c>
      <c r="H70" s="12" t="n"/>
      <c r="I70" s="12" t="n"/>
    </row>
    <row r="71">
      <c r="A71" s="38" t="n"/>
      <c r="B71" s="12" t="n"/>
      <c r="C71" s="12" t="n"/>
      <c r="D71" s="12" t="n"/>
      <c r="E71" s="27" t="n"/>
      <c r="F71" s="27" t="n"/>
      <c r="G71" s="28">
        <f>IF(E71="","",E71-N(F71))</f>
        <v/>
      </c>
      <c r="H71" s="12" t="n"/>
      <c r="I71" s="12" t="n"/>
    </row>
    <row r="72">
      <c r="A72" s="38" t="n"/>
      <c r="B72" s="12" t="n"/>
      <c r="C72" s="12" t="n"/>
      <c r="D72" s="12" t="n"/>
      <c r="E72" s="27" t="n"/>
      <c r="F72" s="27" t="n"/>
      <c r="G72" s="28">
        <f>IF(E72="","",E72-N(F72))</f>
        <v/>
      </c>
      <c r="H72" s="12" t="n"/>
      <c r="I72" s="12" t="n"/>
    </row>
    <row r="73">
      <c r="A73" s="38" t="n"/>
      <c r="B73" s="12" t="n"/>
      <c r="C73" s="12" t="n"/>
      <c r="D73" s="12" t="n"/>
      <c r="E73" s="27" t="n"/>
      <c r="F73" s="27" t="n"/>
      <c r="G73" s="28">
        <f>IF(E73="","",E73-N(F73))</f>
        <v/>
      </c>
      <c r="H73" s="12" t="n"/>
      <c r="I73" s="12" t="n"/>
    </row>
    <row r="74">
      <c r="A74" s="38" t="n"/>
      <c r="B74" s="12" t="n"/>
      <c r="C74" s="12" t="n"/>
      <c r="D74" s="12" t="n"/>
      <c r="E74" s="27" t="n"/>
      <c r="F74" s="27" t="n"/>
      <c r="G74" s="28">
        <f>IF(E74="","",E74-N(F74))</f>
        <v/>
      </c>
      <c r="H74" s="12" t="n"/>
      <c r="I74" s="12" t="n"/>
    </row>
    <row r="75">
      <c r="A75" s="38" t="n"/>
      <c r="B75" s="12" t="n"/>
      <c r="C75" s="12" t="n"/>
      <c r="D75" s="12" t="n"/>
      <c r="E75" s="27" t="n"/>
      <c r="F75" s="27" t="n"/>
      <c r="G75" s="28">
        <f>IF(E75="","",E75-N(F75))</f>
        <v/>
      </c>
      <c r="H75" s="12" t="n"/>
      <c r="I75" s="12" t="n"/>
    </row>
    <row r="76">
      <c r="A76" s="38" t="n"/>
      <c r="B76" s="12" t="n"/>
      <c r="C76" s="12" t="n"/>
      <c r="D76" s="12" t="n"/>
      <c r="E76" s="27" t="n"/>
      <c r="F76" s="27" t="n"/>
      <c r="G76" s="28">
        <f>IF(E76="","",E76-N(F76))</f>
        <v/>
      </c>
      <c r="H76" s="12" t="n"/>
      <c r="I76" s="12" t="n"/>
    </row>
    <row r="77">
      <c r="A77" s="38" t="n"/>
      <c r="B77" s="12" t="n"/>
      <c r="C77" s="12" t="n"/>
      <c r="D77" s="12" t="n"/>
      <c r="E77" s="27" t="n"/>
      <c r="F77" s="27" t="n"/>
      <c r="G77" s="28">
        <f>IF(E77="","",E77-N(F77))</f>
        <v/>
      </c>
      <c r="H77" s="12" t="n"/>
      <c r="I77" s="12" t="n"/>
    </row>
    <row r="78">
      <c r="A78" s="38" t="n"/>
      <c r="B78" s="12" t="n"/>
      <c r="C78" s="12" t="n"/>
      <c r="D78" s="12" t="n"/>
      <c r="E78" s="27" t="n"/>
      <c r="F78" s="27" t="n"/>
      <c r="G78" s="28">
        <f>IF(E78="","",E78-N(F78))</f>
        <v/>
      </c>
      <c r="H78" s="12" t="n"/>
      <c r="I78" s="12" t="n"/>
    </row>
    <row r="79">
      <c r="A79" s="38" t="n"/>
      <c r="B79" s="12" t="n"/>
      <c r="C79" s="12" t="n"/>
      <c r="D79" s="12" t="n"/>
      <c r="E79" s="27" t="n"/>
      <c r="F79" s="27" t="n"/>
      <c r="G79" s="28">
        <f>IF(E79="","",E79-N(F79))</f>
        <v/>
      </c>
      <c r="H79" s="12" t="n"/>
      <c r="I79" s="12" t="n"/>
    </row>
    <row r="80">
      <c r="A80" s="38" t="n"/>
      <c r="B80" s="12" t="n"/>
      <c r="C80" s="12" t="n"/>
      <c r="D80" s="12" t="n"/>
      <c r="E80" s="27" t="n"/>
      <c r="F80" s="27" t="n"/>
      <c r="G80" s="28">
        <f>IF(E80="","",E80-N(F80))</f>
        <v/>
      </c>
      <c r="H80" s="12" t="n"/>
      <c r="I80" s="12" t="n"/>
    </row>
    <row r="81">
      <c r="A81" s="38" t="n"/>
      <c r="B81" s="12" t="n"/>
      <c r="C81" s="12" t="n"/>
      <c r="D81" s="12" t="n"/>
      <c r="E81" s="27" t="n"/>
      <c r="F81" s="27" t="n"/>
      <c r="G81" s="28">
        <f>IF(E81="","",E81-N(F81))</f>
        <v/>
      </c>
      <c r="H81" s="12" t="n"/>
      <c r="I81" s="12" t="n"/>
    </row>
    <row r="82">
      <c r="A82" s="38" t="n"/>
      <c r="B82" s="12" t="n"/>
      <c r="C82" s="12" t="n"/>
      <c r="D82" s="12" t="n"/>
      <c r="E82" s="27" t="n"/>
      <c r="F82" s="27" t="n"/>
      <c r="G82" s="28">
        <f>IF(E82="","",E82-N(F82))</f>
        <v/>
      </c>
      <c r="H82" s="12" t="n"/>
      <c r="I82" s="12" t="n"/>
    </row>
    <row r="83">
      <c r="A83" s="38" t="n"/>
      <c r="B83" s="12" t="n"/>
      <c r="C83" s="12" t="n"/>
      <c r="D83" s="12" t="n"/>
      <c r="E83" s="27" t="n"/>
      <c r="F83" s="27" t="n"/>
      <c r="G83" s="28">
        <f>IF(E83="","",E83-N(F83))</f>
        <v/>
      </c>
      <c r="H83" s="12" t="n"/>
      <c r="I83" s="12" t="n"/>
    </row>
    <row r="84">
      <c r="A84" s="38" t="n"/>
      <c r="B84" s="12" t="n"/>
      <c r="C84" s="12" t="n"/>
      <c r="D84" s="12" t="n"/>
      <c r="E84" s="27" t="n"/>
      <c r="F84" s="27" t="n"/>
      <c r="G84" s="28">
        <f>IF(E84="","",E84-N(F84))</f>
        <v/>
      </c>
      <c r="H84" s="12" t="n"/>
      <c r="I84" s="12" t="n"/>
    </row>
    <row r="85">
      <c r="A85" s="38" t="n"/>
      <c r="B85" s="12" t="n"/>
      <c r="C85" s="12" t="n"/>
      <c r="D85" s="12" t="n"/>
      <c r="E85" s="27" t="n"/>
      <c r="F85" s="27" t="n"/>
      <c r="G85" s="28">
        <f>IF(E85="","",E85-N(F85))</f>
        <v/>
      </c>
      <c r="H85" s="12" t="n"/>
      <c r="I85" s="12" t="n"/>
    </row>
    <row r="86">
      <c r="A86" s="38" t="n"/>
      <c r="B86" s="12" t="n"/>
      <c r="C86" s="12" t="n"/>
      <c r="D86" s="12" t="n"/>
      <c r="E86" s="27" t="n"/>
      <c r="F86" s="27" t="n"/>
      <c r="G86" s="28">
        <f>IF(E86="","",E86-N(F86))</f>
        <v/>
      </c>
      <c r="H86" s="12" t="n"/>
      <c r="I86" s="12" t="n"/>
    </row>
    <row r="87">
      <c r="A87" s="38" t="n"/>
      <c r="B87" s="12" t="n"/>
      <c r="C87" s="12" t="n"/>
      <c r="D87" s="12" t="n"/>
      <c r="E87" s="27" t="n"/>
      <c r="F87" s="27" t="n"/>
      <c r="G87" s="28">
        <f>IF(E87="","",E87-N(F87))</f>
        <v/>
      </c>
      <c r="H87" s="12" t="n"/>
      <c r="I87" s="12" t="n"/>
    </row>
    <row r="88">
      <c r="A88" s="38" t="n"/>
      <c r="B88" s="12" t="n"/>
      <c r="C88" s="12" t="n"/>
      <c r="D88" s="12" t="n"/>
      <c r="E88" s="27" t="n"/>
      <c r="F88" s="27" t="n"/>
      <c r="G88" s="28">
        <f>IF(E88="","",E88-N(F88))</f>
        <v/>
      </c>
      <c r="H88" s="12" t="n"/>
      <c r="I88" s="12" t="n"/>
    </row>
    <row r="89">
      <c r="A89" s="38" t="n"/>
      <c r="B89" s="12" t="n"/>
      <c r="C89" s="12" t="n"/>
      <c r="D89" s="12" t="n"/>
      <c r="E89" s="27" t="n"/>
      <c r="F89" s="27" t="n"/>
      <c r="G89" s="28">
        <f>IF(E89="","",E89-N(F89))</f>
        <v/>
      </c>
      <c r="H89" s="12" t="n"/>
      <c r="I89" s="12" t="n"/>
    </row>
    <row r="90">
      <c r="A90" s="38" t="n"/>
      <c r="B90" s="12" t="n"/>
      <c r="C90" s="12" t="n"/>
      <c r="D90" s="12" t="n"/>
      <c r="E90" s="27" t="n"/>
      <c r="F90" s="27" t="n"/>
      <c r="G90" s="28">
        <f>IF(E90="","",E90-N(F90))</f>
        <v/>
      </c>
      <c r="H90" s="12" t="n"/>
      <c r="I90" s="12" t="n"/>
    </row>
    <row r="91">
      <c r="A91" s="38" t="n"/>
      <c r="B91" s="12" t="n"/>
      <c r="C91" s="12" t="n"/>
      <c r="D91" s="12" t="n"/>
      <c r="E91" s="27" t="n"/>
      <c r="F91" s="27" t="n"/>
      <c r="G91" s="28">
        <f>IF(E91="","",E91-N(F91))</f>
        <v/>
      </c>
      <c r="H91" s="12" t="n"/>
      <c r="I91" s="12" t="n"/>
    </row>
    <row r="92">
      <c r="A92" s="38" t="n"/>
      <c r="B92" s="12" t="n"/>
      <c r="C92" s="12" t="n"/>
      <c r="D92" s="12" t="n"/>
      <c r="E92" s="27" t="n"/>
      <c r="F92" s="27" t="n"/>
      <c r="G92" s="28">
        <f>IF(E92="","",E92-N(F92))</f>
        <v/>
      </c>
      <c r="H92" s="12" t="n"/>
      <c r="I92" s="12" t="n"/>
    </row>
    <row r="93">
      <c r="A93" s="38" t="n"/>
      <c r="B93" s="12" t="n"/>
      <c r="C93" s="12" t="n"/>
      <c r="D93" s="12" t="n"/>
      <c r="E93" s="27" t="n"/>
      <c r="F93" s="27" t="n"/>
      <c r="G93" s="28">
        <f>IF(E93="","",E93-N(F93))</f>
        <v/>
      </c>
      <c r="H93" s="12" t="n"/>
      <c r="I93" s="12" t="n"/>
    </row>
    <row r="94">
      <c r="A94" s="38" t="n"/>
      <c r="B94" s="12" t="n"/>
      <c r="C94" s="12" t="n"/>
      <c r="D94" s="12" t="n"/>
      <c r="E94" s="27" t="n"/>
      <c r="F94" s="27" t="n"/>
      <c r="G94" s="28">
        <f>IF(E94="","",E94-N(F94))</f>
        <v/>
      </c>
      <c r="H94" s="12" t="n"/>
      <c r="I94" s="12" t="n"/>
    </row>
    <row r="95">
      <c r="A95" s="38" t="n"/>
      <c r="B95" s="12" t="n"/>
      <c r="C95" s="12" t="n"/>
      <c r="D95" s="12" t="n"/>
      <c r="E95" s="27" t="n"/>
      <c r="F95" s="27" t="n"/>
      <c r="G95" s="28">
        <f>IF(E95="","",E95-N(F95))</f>
        <v/>
      </c>
      <c r="H95" s="12" t="n"/>
      <c r="I95" s="12" t="n"/>
    </row>
    <row r="96">
      <c r="A96" s="38" t="n"/>
      <c r="B96" s="12" t="n"/>
      <c r="C96" s="12" t="n"/>
      <c r="D96" s="12" t="n"/>
      <c r="E96" s="27" t="n"/>
      <c r="F96" s="27" t="n"/>
      <c r="G96" s="28">
        <f>IF(E96="","",E96-N(F96))</f>
        <v/>
      </c>
      <c r="H96" s="12" t="n"/>
      <c r="I96" s="12" t="n"/>
    </row>
    <row r="97">
      <c r="A97" s="38" t="n"/>
      <c r="B97" s="12" t="n"/>
      <c r="C97" s="12" t="n"/>
      <c r="D97" s="12" t="n"/>
      <c r="E97" s="27" t="n"/>
      <c r="F97" s="27" t="n"/>
      <c r="G97" s="28">
        <f>IF(E97="","",E97-N(F97))</f>
        <v/>
      </c>
      <c r="H97" s="12" t="n"/>
      <c r="I97" s="12" t="n"/>
    </row>
    <row r="98">
      <c r="A98" s="38" t="n"/>
      <c r="B98" s="12" t="n"/>
      <c r="C98" s="12" t="n"/>
      <c r="D98" s="12" t="n"/>
      <c r="E98" s="27" t="n"/>
      <c r="F98" s="27" t="n"/>
      <c r="G98" s="28">
        <f>IF(E98="","",E98-N(F98))</f>
        <v/>
      </c>
      <c r="H98" s="12" t="n"/>
      <c r="I98" s="12" t="n"/>
    </row>
    <row r="99">
      <c r="A99" s="38" t="n"/>
      <c r="B99" s="12" t="n"/>
      <c r="C99" s="12" t="n"/>
      <c r="D99" s="12" t="n"/>
      <c r="E99" s="27" t="n"/>
      <c r="F99" s="27" t="n"/>
      <c r="G99" s="28">
        <f>IF(E99="","",E99-N(F99))</f>
        <v/>
      </c>
      <c r="H99" s="12" t="n"/>
      <c r="I99" s="12" t="n"/>
    </row>
    <row r="100">
      <c r="A100" s="38" t="n"/>
      <c r="B100" s="12" t="n"/>
      <c r="C100" s="12" t="n"/>
      <c r="D100" s="12" t="n"/>
      <c r="E100" s="27" t="n"/>
      <c r="F100" s="27" t="n"/>
      <c r="G100" s="28">
        <f>IF(E100="","",E100-N(F100))</f>
        <v/>
      </c>
      <c r="H100" s="12" t="n"/>
      <c r="I100" s="12" t="n"/>
    </row>
    <row r="101">
      <c r="A101" s="38" t="n"/>
      <c r="B101" s="12" t="n"/>
      <c r="C101" s="12" t="n"/>
      <c r="D101" s="12" t="n"/>
      <c r="E101" s="27" t="n"/>
      <c r="F101" s="27" t="n"/>
      <c r="G101" s="28">
        <f>IF(E101="","",E101-N(F101))</f>
        <v/>
      </c>
      <c r="H101" s="12" t="n"/>
      <c r="I101" s="12" t="n"/>
    </row>
    <row r="102">
      <c r="A102" s="38" t="n"/>
      <c r="B102" s="12" t="n"/>
      <c r="C102" s="12" t="n"/>
      <c r="D102" s="12" t="n"/>
      <c r="E102" s="27" t="n"/>
      <c r="F102" s="27" t="n"/>
      <c r="G102" s="28">
        <f>IF(E102="","",E102-N(F102))</f>
        <v/>
      </c>
      <c r="H102" s="12" t="n"/>
      <c r="I102" s="12" t="n"/>
    </row>
    <row r="103">
      <c r="A103" s="38" t="n"/>
      <c r="B103" s="12" t="n"/>
      <c r="C103" s="12" t="n"/>
      <c r="D103" s="12" t="n"/>
      <c r="E103" s="27" t="n"/>
      <c r="F103" s="27" t="n"/>
      <c r="G103" s="28">
        <f>IF(E103="","",E103-N(F103))</f>
        <v/>
      </c>
      <c r="H103" s="12" t="n"/>
      <c r="I103" s="12" t="n"/>
    </row>
    <row r="104">
      <c r="A104" s="38" t="n"/>
      <c r="B104" s="12" t="n"/>
      <c r="C104" s="12" t="n"/>
      <c r="D104" s="12" t="n"/>
      <c r="E104" s="27" t="n"/>
      <c r="F104" s="27" t="n"/>
      <c r="G104" s="28">
        <f>IF(E104="","",E104-N(F104))</f>
        <v/>
      </c>
      <c r="H104" s="12" t="n"/>
      <c r="I104" s="12" t="n"/>
    </row>
    <row r="105">
      <c r="A105" s="38" t="n"/>
      <c r="B105" s="12" t="n"/>
      <c r="C105" s="12" t="n"/>
      <c r="D105" s="12" t="n"/>
      <c r="E105" s="27" t="n"/>
      <c r="F105" s="27" t="n"/>
      <c r="G105" s="28">
        <f>IF(E105="","",E105-N(F105))</f>
        <v/>
      </c>
      <c r="H105" s="12" t="n"/>
      <c r="I105" s="12" t="n"/>
    </row>
    <row r="106">
      <c r="A106" s="38" t="n"/>
      <c r="B106" s="12" t="n"/>
      <c r="C106" s="12" t="n"/>
      <c r="D106" s="12" t="n"/>
      <c r="E106" s="27" t="n"/>
      <c r="F106" s="27" t="n"/>
      <c r="G106" s="28">
        <f>IF(E106="","",E106-N(F106))</f>
        <v/>
      </c>
      <c r="H106" s="12" t="n"/>
      <c r="I106" s="12" t="n"/>
    </row>
    <row r="107">
      <c r="A107" s="38" t="n"/>
      <c r="B107" s="12" t="n"/>
      <c r="C107" s="12" t="n"/>
      <c r="D107" s="12" t="n"/>
      <c r="E107" s="27" t="n"/>
      <c r="F107" s="27" t="n"/>
      <c r="G107" s="28">
        <f>IF(E107="","",E107-N(F107))</f>
        <v/>
      </c>
      <c r="H107" s="12" t="n"/>
      <c r="I107" s="12" t="n"/>
    </row>
    <row r="108">
      <c r="A108" s="38" t="n"/>
      <c r="B108" s="12" t="n"/>
      <c r="C108" s="12" t="n"/>
      <c r="D108" s="12" t="n"/>
      <c r="E108" s="27" t="n"/>
      <c r="F108" s="27" t="n"/>
      <c r="G108" s="28">
        <f>IF(E108="","",E108-N(F108))</f>
        <v/>
      </c>
      <c r="H108" s="12" t="n"/>
      <c r="I108" s="12" t="n"/>
    </row>
    <row r="109">
      <c r="A109" s="38" t="n"/>
      <c r="B109" s="12" t="n"/>
      <c r="C109" s="12" t="n"/>
      <c r="D109" s="12" t="n"/>
      <c r="E109" s="27" t="n"/>
      <c r="F109" s="27" t="n"/>
      <c r="G109" s="28">
        <f>IF(E109="","",E109-N(F109))</f>
        <v/>
      </c>
      <c r="H109" s="12" t="n"/>
      <c r="I109" s="12" t="n"/>
    </row>
    <row r="110">
      <c r="A110" s="38" t="n"/>
      <c r="B110" s="12" t="n"/>
      <c r="C110" s="12" t="n"/>
      <c r="D110" s="12" t="n"/>
      <c r="E110" s="27" t="n"/>
      <c r="F110" s="27" t="n"/>
      <c r="G110" s="28">
        <f>IF(E110="","",E110-N(F110))</f>
        <v/>
      </c>
      <c r="H110" s="12" t="n"/>
      <c r="I110" s="12" t="n"/>
    </row>
    <row r="111">
      <c r="A111" s="38" t="n"/>
      <c r="B111" s="12" t="n"/>
      <c r="C111" s="12" t="n"/>
      <c r="D111" s="12" t="n"/>
      <c r="E111" s="27" t="n"/>
      <c r="F111" s="27" t="n"/>
      <c r="G111" s="28">
        <f>IF(E111="","",E111-N(F111))</f>
        <v/>
      </c>
      <c r="H111" s="12" t="n"/>
      <c r="I111" s="12" t="n"/>
    </row>
    <row r="112">
      <c r="A112" s="38" t="n"/>
      <c r="B112" s="12" t="n"/>
      <c r="C112" s="12" t="n"/>
      <c r="D112" s="12" t="n"/>
      <c r="E112" s="27" t="n"/>
      <c r="F112" s="27" t="n"/>
      <c r="G112" s="28">
        <f>IF(E112="","",E112-N(F112))</f>
        <v/>
      </c>
      <c r="H112" s="12" t="n"/>
      <c r="I112" s="12" t="n"/>
    </row>
    <row r="113">
      <c r="A113" s="38" t="n"/>
      <c r="B113" s="12" t="n"/>
      <c r="C113" s="12" t="n"/>
      <c r="D113" s="12" t="n"/>
      <c r="E113" s="27" t="n"/>
      <c r="F113" s="27" t="n"/>
      <c r="G113" s="28">
        <f>IF(E113="","",E113-N(F113))</f>
        <v/>
      </c>
      <c r="H113" s="12" t="n"/>
      <c r="I113" s="12" t="n"/>
    </row>
    <row r="114">
      <c r="A114" s="38" t="n"/>
      <c r="B114" s="12" t="n"/>
      <c r="C114" s="12" t="n"/>
      <c r="D114" s="12" t="n"/>
      <c r="E114" s="27" t="n"/>
      <c r="F114" s="27" t="n"/>
      <c r="G114" s="28">
        <f>IF(E114="","",E114-N(F114))</f>
        <v/>
      </c>
      <c r="H114" s="12" t="n"/>
      <c r="I114" s="12" t="n"/>
    </row>
    <row r="115">
      <c r="A115" s="38" t="n"/>
      <c r="B115" s="12" t="n"/>
      <c r="C115" s="12" t="n"/>
      <c r="D115" s="12" t="n"/>
      <c r="E115" s="27" t="n"/>
      <c r="F115" s="27" t="n"/>
      <c r="G115" s="28">
        <f>IF(E115="","",E115-N(F115))</f>
        <v/>
      </c>
      <c r="H115" s="12" t="n"/>
      <c r="I115" s="12" t="n"/>
    </row>
    <row r="116">
      <c r="A116" s="38" t="n"/>
      <c r="B116" s="12" t="n"/>
      <c r="C116" s="12" t="n"/>
      <c r="D116" s="12" t="n"/>
      <c r="E116" s="27" t="n"/>
      <c r="F116" s="27" t="n"/>
      <c r="G116" s="28">
        <f>IF(E116="","",E116-N(F116))</f>
        <v/>
      </c>
      <c r="H116" s="12" t="n"/>
      <c r="I116" s="12" t="n"/>
    </row>
    <row r="117">
      <c r="A117" s="38" t="n"/>
      <c r="B117" s="12" t="n"/>
      <c r="C117" s="12" t="n"/>
      <c r="D117" s="12" t="n"/>
      <c r="E117" s="27" t="n"/>
      <c r="F117" s="27" t="n"/>
      <c r="G117" s="28">
        <f>IF(E117="","",E117-N(F117))</f>
        <v/>
      </c>
      <c r="H117" s="12" t="n"/>
      <c r="I117" s="12" t="n"/>
    </row>
    <row r="118">
      <c r="A118" s="38" t="n"/>
      <c r="B118" s="12" t="n"/>
      <c r="C118" s="12" t="n"/>
      <c r="D118" s="12" t="n"/>
      <c r="E118" s="27" t="n"/>
      <c r="F118" s="27" t="n"/>
      <c r="G118" s="28">
        <f>IF(E118="","",E118-N(F118))</f>
        <v/>
      </c>
      <c r="H118" s="12" t="n"/>
      <c r="I118" s="12" t="n"/>
    </row>
    <row r="119">
      <c r="A119" s="38" t="n"/>
      <c r="B119" s="12" t="n"/>
      <c r="C119" s="12" t="n"/>
      <c r="D119" s="12" t="n"/>
      <c r="E119" s="27" t="n"/>
      <c r="F119" s="27" t="n"/>
      <c r="G119" s="28">
        <f>IF(E119="","",E119-N(F119))</f>
        <v/>
      </c>
      <c r="H119" s="12" t="n"/>
      <c r="I119" s="12" t="n"/>
    </row>
    <row r="120">
      <c r="A120" s="38" t="n"/>
      <c r="B120" s="12" t="n"/>
      <c r="C120" s="12" t="n"/>
      <c r="D120" s="12" t="n"/>
      <c r="E120" s="27" t="n"/>
      <c r="F120" s="27" t="n"/>
      <c r="G120" s="28">
        <f>IF(E120="","",E120-N(F120))</f>
        <v/>
      </c>
      <c r="H120" s="12" t="n"/>
      <c r="I120" s="12" t="n"/>
    </row>
    <row r="121">
      <c r="A121" s="38" t="n"/>
      <c r="B121" s="12" t="n"/>
      <c r="C121" s="12" t="n"/>
      <c r="D121" s="12" t="n"/>
      <c r="E121" s="27" t="n"/>
      <c r="F121" s="27" t="n"/>
      <c r="G121" s="28">
        <f>IF(E121="","",E121-N(F121))</f>
        <v/>
      </c>
      <c r="H121" s="12" t="n"/>
      <c r="I121" s="12" t="n"/>
    </row>
    <row r="122">
      <c r="A122" s="38" t="n"/>
      <c r="B122" s="12" t="n"/>
      <c r="C122" s="12" t="n"/>
      <c r="D122" s="12" t="n"/>
      <c r="E122" s="27" t="n"/>
      <c r="F122" s="27" t="n"/>
      <c r="G122" s="28">
        <f>IF(E122="","",E122-N(F122))</f>
        <v/>
      </c>
      <c r="H122" s="12" t="n"/>
      <c r="I122" s="12" t="n"/>
    </row>
    <row r="123">
      <c r="A123" s="38" t="n"/>
      <c r="B123" s="12" t="n"/>
      <c r="C123" s="12" t="n"/>
      <c r="D123" s="12" t="n"/>
      <c r="E123" s="27" t="n"/>
      <c r="F123" s="27" t="n"/>
      <c r="G123" s="28">
        <f>IF(E123="","",E123-N(F123))</f>
        <v/>
      </c>
      <c r="H123" s="12" t="n"/>
      <c r="I123" s="12" t="n"/>
    </row>
    <row r="124">
      <c r="A124" s="38" t="n"/>
      <c r="B124" s="12" t="n"/>
      <c r="C124" s="12" t="n"/>
      <c r="D124" s="12" t="n"/>
      <c r="E124" s="27" t="n"/>
      <c r="F124" s="27" t="n"/>
      <c r="G124" s="28">
        <f>IF(E124="","",E124-N(F124))</f>
        <v/>
      </c>
      <c r="H124" s="12" t="n"/>
      <c r="I124" s="12" t="n"/>
    </row>
    <row r="125">
      <c r="A125" s="38" t="n"/>
      <c r="B125" s="12" t="n"/>
      <c r="C125" s="12" t="n"/>
      <c r="D125" s="12" t="n"/>
      <c r="E125" s="27" t="n"/>
      <c r="F125" s="27" t="n"/>
      <c r="G125" s="28">
        <f>IF(E125="","",E125-N(F125))</f>
        <v/>
      </c>
      <c r="H125" s="12" t="n"/>
      <c r="I125" s="12" t="n"/>
    </row>
    <row r="126">
      <c r="A126" s="38" t="n"/>
      <c r="B126" s="12" t="n"/>
      <c r="C126" s="12" t="n"/>
      <c r="D126" s="12" t="n"/>
      <c r="E126" s="27" t="n"/>
      <c r="F126" s="27" t="n"/>
      <c r="G126" s="28">
        <f>IF(E126="","",E126-N(F126))</f>
        <v/>
      </c>
      <c r="H126" s="12" t="n"/>
      <c r="I126" s="12" t="n"/>
    </row>
    <row r="127">
      <c r="A127" s="38" t="n"/>
      <c r="B127" s="12" t="n"/>
      <c r="C127" s="12" t="n"/>
      <c r="D127" s="12" t="n"/>
      <c r="E127" s="27" t="n"/>
      <c r="F127" s="27" t="n"/>
      <c r="G127" s="28">
        <f>IF(E127="","",E127-N(F127))</f>
        <v/>
      </c>
      <c r="H127" s="12" t="n"/>
      <c r="I127" s="12" t="n"/>
    </row>
    <row r="128">
      <c r="A128" s="38" t="n"/>
      <c r="B128" s="12" t="n"/>
      <c r="C128" s="12" t="n"/>
      <c r="D128" s="12" t="n"/>
      <c r="E128" s="27" t="n"/>
      <c r="F128" s="27" t="n"/>
      <c r="G128" s="28">
        <f>IF(E128="","",E128-N(F128))</f>
        <v/>
      </c>
      <c r="H128" s="12" t="n"/>
      <c r="I128" s="12" t="n"/>
    </row>
    <row r="129">
      <c r="A129" s="38" t="n"/>
      <c r="B129" s="12" t="n"/>
      <c r="C129" s="12" t="n"/>
      <c r="D129" s="12" t="n"/>
      <c r="E129" s="27" t="n"/>
      <c r="F129" s="27" t="n"/>
      <c r="G129" s="28">
        <f>IF(E129="","",E129-N(F129))</f>
        <v/>
      </c>
      <c r="H129" s="12" t="n"/>
      <c r="I129" s="12" t="n"/>
    </row>
    <row r="130">
      <c r="A130" s="38" t="n"/>
      <c r="B130" s="12" t="n"/>
      <c r="C130" s="12" t="n"/>
      <c r="D130" s="12" t="n"/>
      <c r="E130" s="27" t="n"/>
      <c r="F130" s="27" t="n"/>
      <c r="G130" s="28">
        <f>IF(E130="","",E130-N(F130))</f>
        <v/>
      </c>
      <c r="H130" s="12" t="n"/>
      <c r="I130" s="12" t="n"/>
    </row>
    <row r="131">
      <c r="A131" s="38" t="n"/>
      <c r="B131" s="12" t="n"/>
      <c r="C131" s="12" t="n"/>
      <c r="D131" s="12" t="n"/>
      <c r="E131" s="27" t="n"/>
      <c r="F131" s="27" t="n"/>
      <c r="G131" s="28">
        <f>IF(E131="","",E131-N(F131))</f>
        <v/>
      </c>
      <c r="H131" s="12" t="n"/>
      <c r="I131" s="12" t="n"/>
    </row>
    <row r="132">
      <c r="A132" s="38" t="n"/>
      <c r="B132" s="12" t="n"/>
      <c r="C132" s="12" t="n"/>
      <c r="D132" s="12" t="n"/>
      <c r="E132" s="27" t="n"/>
      <c r="F132" s="27" t="n"/>
      <c r="G132" s="28">
        <f>IF(E132="","",E132-N(F132))</f>
        <v/>
      </c>
      <c r="H132" s="12" t="n"/>
      <c r="I132" s="12" t="n"/>
    </row>
    <row r="133">
      <c r="A133" s="38" t="n"/>
      <c r="B133" s="12" t="n"/>
      <c r="C133" s="12" t="n"/>
      <c r="D133" s="12" t="n"/>
      <c r="E133" s="27" t="n"/>
      <c r="F133" s="27" t="n"/>
      <c r="G133" s="28">
        <f>IF(E133="","",E133-N(F133))</f>
        <v/>
      </c>
      <c r="H133" s="12" t="n"/>
      <c r="I133" s="12" t="n"/>
    </row>
    <row r="134">
      <c r="A134" s="38" t="n"/>
      <c r="B134" s="12" t="n"/>
      <c r="C134" s="12" t="n"/>
      <c r="D134" s="12" t="n"/>
      <c r="E134" s="27" t="n"/>
      <c r="F134" s="27" t="n"/>
      <c r="G134" s="28">
        <f>IF(E134="","",E134-N(F134))</f>
        <v/>
      </c>
      <c r="H134" s="12" t="n"/>
      <c r="I134" s="12" t="n"/>
    </row>
    <row r="135">
      <c r="A135" s="38" t="n"/>
      <c r="B135" s="12" t="n"/>
      <c r="C135" s="12" t="n"/>
      <c r="D135" s="12" t="n"/>
      <c r="E135" s="27" t="n"/>
      <c r="F135" s="27" t="n"/>
      <c r="G135" s="28">
        <f>IF(E135="","",E135-N(F135))</f>
        <v/>
      </c>
      <c r="H135" s="12" t="n"/>
      <c r="I135" s="12" t="n"/>
    </row>
    <row r="136">
      <c r="A136" s="38" t="n"/>
      <c r="B136" s="12" t="n"/>
      <c r="C136" s="12" t="n"/>
      <c r="D136" s="12" t="n"/>
      <c r="E136" s="27" t="n"/>
      <c r="F136" s="27" t="n"/>
      <c r="G136" s="28">
        <f>IF(E136="","",E136-N(F136))</f>
        <v/>
      </c>
      <c r="H136" s="12" t="n"/>
      <c r="I136" s="12" t="n"/>
    </row>
    <row r="137">
      <c r="A137" s="38" t="n"/>
      <c r="B137" s="12" t="n"/>
      <c r="C137" s="12" t="n"/>
      <c r="D137" s="12" t="n"/>
      <c r="E137" s="27" t="n"/>
      <c r="F137" s="27" t="n"/>
      <c r="G137" s="28">
        <f>IF(E137="","",E137-N(F137))</f>
        <v/>
      </c>
      <c r="H137" s="12" t="n"/>
      <c r="I137" s="12" t="n"/>
    </row>
    <row r="138">
      <c r="A138" s="38" t="n"/>
      <c r="B138" s="12" t="n"/>
      <c r="C138" s="12" t="n"/>
      <c r="D138" s="12" t="n"/>
      <c r="E138" s="27" t="n"/>
      <c r="F138" s="27" t="n"/>
      <c r="G138" s="28">
        <f>IF(E138="","",E138-N(F138))</f>
        <v/>
      </c>
      <c r="H138" s="12" t="n"/>
      <c r="I138" s="12" t="n"/>
    </row>
    <row r="139">
      <c r="A139" s="38" t="n"/>
      <c r="B139" s="12" t="n"/>
      <c r="C139" s="12" t="n"/>
      <c r="D139" s="12" t="n"/>
      <c r="E139" s="27" t="n"/>
      <c r="F139" s="27" t="n"/>
      <c r="G139" s="28">
        <f>IF(E139="","",E139-N(F139))</f>
        <v/>
      </c>
      <c r="H139" s="12" t="n"/>
      <c r="I139" s="12" t="n"/>
    </row>
    <row r="140">
      <c r="A140" s="38" t="n"/>
      <c r="B140" s="12" t="n"/>
      <c r="C140" s="12" t="n"/>
      <c r="D140" s="12" t="n"/>
      <c r="E140" s="27" t="n"/>
      <c r="F140" s="27" t="n"/>
      <c r="G140" s="28">
        <f>IF(E140="","",E140-N(F140))</f>
        <v/>
      </c>
      <c r="H140" s="12" t="n"/>
      <c r="I140" s="12" t="n"/>
    </row>
    <row r="141">
      <c r="A141" s="38" t="n"/>
      <c r="B141" s="12" t="n"/>
      <c r="C141" s="12" t="n"/>
      <c r="D141" s="12" t="n"/>
      <c r="E141" s="27" t="n"/>
      <c r="F141" s="27" t="n"/>
      <c r="G141" s="28">
        <f>IF(E141="","",E141-N(F141))</f>
        <v/>
      </c>
      <c r="H141" s="12" t="n"/>
      <c r="I141" s="12" t="n"/>
    </row>
    <row r="142">
      <c r="A142" s="38" t="n"/>
      <c r="B142" s="12" t="n"/>
      <c r="C142" s="12" t="n"/>
      <c r="D142" s="12" t="n"/>
      <c r="E142" s="27" t="n"/>
      <c r="F142" s="27" t="n"/>
      <c r="G142" s="28">
        <f>IF(E142="","",E142-N(F142))</f>
        <v/>
      </c>
      <c r="H142" s="12" t="n"/>
      <c r="I142" s="12" t="n"/>
    </row>
    <row r="143">
      <c r="A143" s="38" t="n"/>
      <c r="B143" s="12" t="n"/>
      <c r="C143" s="12" t="n"/>
      <c r="D143" s="12" t="n"/>
      <c r="E143" s="27" t="n"/>
      <c r="F143" s="27" t="n"/>
      <c r="G143" s="28">
        <f>IF(E143="","",E143-N(F143))</f>
        <v/>
      </c>
      <c r="H143" s="12" t="n"/>
      <c r="I143" s="12" t="n"/>
    </row>
    <row r="144">
      <c r="A144" s="38" t="n"/>
      <c r="B144" s="12" t="n"/>
      <c r="C144" s="12" t="n"/>
      <c r="D144" s="12" t="n"/>
      <c r="E144" s="27" t="n"/>
      <c r="F144" s="27" t="n"/>
      <c r="G144" s="28">
        <f>IF(E144="","",E144-N(F144))</f>
        <v/>
      </c>
      <c r="H144" s="12" t="n"/>
      <c r="I144" s="12" t="n"/>
    </row>
    <row r="145">
      <c r="A145" s="38" t="n"/>
      <c r="B145" s="12" t="n"/>
      <c r="C145" s="12" t="n"/>
      <c r="D145" s="12" t="n"/>
      <c r="E145" s="27" t="n"/>
      <c r="F145" s="27" t="n"/>
      <c r="G145" s="28">
        <f>IF(E145="","",E145-N(F145))</f>
        <v/>
      </c>
      <c r="H145" s="12" t="n"/>
      <c r="I145" s="12" t="n"/>
    </row>
    <row r="146">
      <c r="A146" s="38" t="n"/>
      <c r="B146" s="12" t="n"/>
      <c r="C146" s="12" t="n"/>
      <c r="D146" s="12" t="n"/>
      <c r="E146" s="27" t="n"/>
      <c r="F146" s="27" t="n"/>
      <c r="G146" s="28">
        <f>IF(E146="","",E146-N(F146))</f>
        <v/>
      </c>
      <c r="H146" s="12" t="n"/>
      <c r="I146" s="12" t="n"/>
    </row>
    <row r="147">
      <c r="A147" s="38" t="n"/>
      <c r="B147" s="12" t="n"/>
      <c r="C147" s="12" t="n"/>
      <c r="D147" s="12" t="n"/>
      <c r="E147" s="27" t="n"/>
      <c r="F147" s="27" t="n"/>
      <c r="G147" s="28">
        <f>IF(E147="","",E147-N(F147))</f>
        <v/>
      </c>
      <c r="H147" s="12" t="n"/>
      <c r="I147" s="12" t="n"/>
    </row>
    <row r="148">
      <c r="A148" s="38" t="n"/>
      <c r="B148" s="12" t="n"/>
      <c r="C148" s="12" t="n"/>
      <c r="D148" s="12" t="n"/>
      <c r="E148" s="27" t="n"/>
      <c r="F148" s="27" t="n"/>
      <c r="G148" s="28">
        <f>IF(E148="","",E148-N(F148))</f>
        <v/>
      </c>
      <c r="H148" s="12" t="n"/>
      <c r="I148" s="12" t="n"/>
    </row>
    <row r="149">
      <c r="A149" s="38" t="n"/>
      <c r="B149" s="12" t="n"/>
      <c r="C149" s="12" t="n"/>
      <c r="D149" s="12" t="n"/>
      <c r="E149" s="27" t="n"/>
      <c r="F149" s="27" t="n"/>
      <c r="G149" s="28">
        <f>IF(E149="","",E149-N(F149))</f>
        <v/>
      </c>
      <c r="H149" s="12" t="n"/>
      <c r="I149" s="12" t="n"/>
    </row>
    <row r="150">
      <c r="A150" s="38" t="n"/>
      <c r="B150" s="12" t="n"/>
      <c r="C150" s="12" t="n"/>
      <c r="D150" s="12" t="n"/>
      <c r="E150" s="27" t="n"/>
      <c r="F150" s="27" t="n"/>
      <c r="G150" s="28">
        <f>IF(E150="","",E150-N(F150))</f>
        <v/>
      </c>
      <c r="H150" s="12" t="n"/>
      <c r="I150" s="12" t="n"/>
    </row>
    <row r="151">
      <c r="A151" s="38" t="n"/>
      <c r="B151" s="12" t="n"/>
      <c r="C151" s="12" t="n"/>
      <c r="D151" s="12" t="n"/>
      <c r="E151" s="27" t="n"/>
      <c r="F151" s="27" t="n"/>
      <c r="G151" s="28">
        <f>IF(E151="","",E151-N(F151))</f>
        <v/>
      </c>
      <c r="H151" s="12" t="n"/>
      <c r="I151" s="12" t="n"/>
    </row>
    <row r="152">
      <c r="A152" s="38" t="n"/>
      <c r="B152" s="12" t="n"/>
      <c r="C152" s="12" t="n"/>
      <c r="D152" s="12" t="n"/>
      <c r="E152" s="27" t="n"/>
      <c r="F152" s="27" t="n"/>
      <c r="G152" s="28">
        <f>IF(E152="","",E152-N(F152))</f>
        <v/>
      </c>
      <c r="H152" s="12" t="n"/>
      <c r="I152" s="12" t="n"/>
    </row>
    <row r="153">
      <c r="A153" s="38" t="n"/>
      <c r="B153" s="12" t="n"/>
      <c r="C153" s="12" t="n"/>
      <c r="D153" s="12" t="n"/>
      <c r="E153" s="27" t="n"/>
      <c r="F153" s="27" t="n"/>
      <c r="G153" s="28">
        <f>IF(E153="","",E153-N(F153))</f>
        <v/>
      </c>
      <c r="H153" s="12" t="n"/>
      <c r="I153" s="12" t="n"/>
    </row>
    <row r="154">
      <c r="A154" s="38" t="n"/>
      <c r="B154" s="12" t="n"/>
      <c r="C154" s="12" t="n"/>
      <c r="D154" s="12" t="n"/>
      <c r="E154" s="27" t="n"/>
      <c r="F154" s="27" t="n"/>
      <c r="G154" s="28">
        <f>IF(E154="","",E154-N(F154))</f>
        <v/>
      </c>
      <c r="H154" s="12" t="n"/>
      <c r="I154" s="12" t="n"/>
    </row>
    <row r="155">
      <c r="A155" s="38" t="n"/>
      <c r="B155" s="12" t="n"/>
      <c r="C155" s="12" t="n"/>
      <c r="D155" s="12" t="n"/>
      <c r="E155" s="27" t="n"/>
      <c r="F155" s="27" t="n"/>
      <c r="G155" s="28">
        <f>IF(E155="","",E155-N(F155))</f>
        <v/>
      </c>
      <c r="H155" s="12" t="n"/>
      <c r="I155" s="12" t="n"/>
    </row>
    <row r="156">
      <c r="A156" s="38" t="n"/>
      <c r="B156" s="12" t="n"/>
      <c r="C156" s="12" t="n"/>
      <c r="D156" s="12" t="n"/>
      <c r="E156" s="27" t="n"/>
      <c r="F156" s="27" t="n"/>
      <c r="G156" s="28">
        <f>IF(E156="","",E156-N(F156))</f>
        <v/>
      </c>
      <c r="H156" s="12" t="n"/>
      <c r="I156" s="12" t="n"/>
    </row>
    <row r="157">
      <c r="A157" s="38" t="n"/>
      <c r="B157" s="12" t="n"/>
      <c r="C157" s="12" t="n"/>
      <c r="D157" s="12" t="n"/>
      <c r="E157" s="27" t="n"/>
      <c r="F157" s="27" t="n"/>
      <c r="G157" s="28">
        <f>IF(E157="","",E157-N(F157))</f>
        <v/>
      </c>
      <c r="H157" s="12" t="n"/>
      <c r="I157" s="12" t="n"/>
    </row>
    <row r="158">
      <c r="A158" s="38" t="n"/>
      <c r="B158" s="12" t="n"/>
      <c r="C158" s="12" t="n"/>
      <c r="D158" s="12" t="n"/>
      <c r="E158" s="27" t="n"/>
      <c r="F158" s="27" t="n"/>
      <c r="G158" s="28">
        <f>IF(E158="","",E158-N(F158))</f>
        <v/>
      </c>
      <c r="H158" s="12" t="n"/>
      <c r="I158" s="12" t="n"/>
    </row>
    <row r="159">
      <c r="A159" s="38" t="n"/>
      <c r="B159" s="12" t="n"/>
      <c r="C159" s="12" t="n"/>
      <c r="D159" s="12" t="n"/>
      <c r="E159" s="27" t="n"/>
      <c r="F159" s="27" t="n"/>
      <c r="G159" s="28">
        <f>IF(E159="","",E159-N(F159))</f>
        <v/>
      </c>
      <c r="H159" s="12" t="n"/>
      <c r="I159" s="12" t="n"/>
    </row>
    <row r="160">
      <c r="A160" s="38" t="n"/>
      <c r="B160" s="12" t="n"/>
      <c r="C160" s="12" t="n"/>
      <c r="D160" s="12" t="n"/>
      <c r="E160" s="27" t="n"/>
      <c r="F160" s="27" t="n"/>
      <c r="G160" s="28">
        <f>IF(E160="","",E160-N(F160))</f>
        <v/>
      </c>
      <c r="H160" s="12" t="n"/>
      <c r="I160" s="12" t="n"/>
    </row>
    <row r="161">
      <c r="A161" s="38" t="n"/>
      <c r="B161" s="12" t="n"/>
      <c r="C161" s="12" t="n"/>
      <c r="D161" s="12" t="n"/>
      <c r="E161" s="27" t="n"/>
      <c r="F161" s="27" t="n"/>
      <c r="G161" s="28">
        <f>IF(E161="","",E161-N(F161))</f>
        <v/>
      </c>
      <c r="H161" s="12" t="n"/>
      <c r="I161" s="12" t="n"/>
    </row>
    <row r="162">
      <c r="A162" s="38" t="n"/>
      <c r="B162" s="12" t="n"/>
      <c r="C162" s="12" t="n"/>
      <c r="D162" s="12" t="n"/>
      <c r="E162" s="27" t="n"/>
      <c r="F162" s="27" t="n"/>
      <c r="G162" s="28">
        <f>IF(E162="","",E162-N(F162))</f>
        <v/>
      </c>
      <c r="H162" s="12" t="n"/>
      <c r="I162" s="12" t="n"/>
    </row>
    <row r="163">
      <c r="A163" s="38" t="n"/>
      <c r="B163" s="12" t="n"/>
      <c r="C163" s="12" t="n"/>
      <c r="D163" s="12" t="n"/>
      <c r="E163" s="27" t="n"/>
      <c r="F163" s="27" t="n"/>
      <c r="G163" s="28">
        <f>IF(E163="","",E163-N(F163))</f>
        <v/>
      </c>
      <c r="H163" s="12" t="n"/>
      <c r="I163" s="12" t="n"/>
    </row>
    <row r="164">
      <c r="A164" s="38" t="n"/>
      <c r="B164" s="12" t="n"/>
      <c r="C164" s="12" t="n"/>
      <c r="D164" s="12" t="n"/>
      <c r="E164" s="27" t="n"/>
      <c r="F164" s="27" t="n"/>
      <c r="G164" s="28">
        <f>IF(E164="","",E164-N(F164))</f>
        <v/>
      </c>
      <c r="H164" s="12" t="n"/>
      <c r="I164" s="12" t="n"/>
    </row>
    <row r="165">
      <c r="A165" s="38" t="n"/>
      <c r="B165" s="12" t="n"/>
      <c r="C165" s="12" t="n"/>
      <c r="D165" s="12" t="n"/>
      <c r="E165" s="27" t="n"/>
      <c r="F165" s="27" t="n"/>
      <c r="G165" s="28">
        <f>IF(E165="","",E165-N(F165))</f>
        <v/>
      </c>
      <c r="H165" s="12" t="n"/>
      <c r="I165" s="12" t="n"/>
    </row>
    <row r="166">
      <c r="A166" s="38" t="n"/>
      <c r="B166" s="12" t="n"/>
      <c r="C166" s="12" t="n"/>
      <c r="D166" s="12" t="n"/>
      <c r="E166" s="27" t="n"/>
      <c r="F166" s="27" t="n"/>
      <c r="G166" s="28">
        <f>IF(E166="","",E166-N(F166))</f>
        <v/>
      </c>
      <c r="H166" s="12" t="n"/>
      <c r="I166" s="12" t="n"/>
    </row>
    <row r="167">
      <c r="A167" s="38" t="n"/>
      <c r="B167" s="12" t="n"/>
      <c r="C167" s="12" t="n"/>
      <c r="D167" s="12" t="n"/>
      <c r="E167" s="27" t="n"/>
      <c r="F167" s="27" t="n"/>
      <c r="G167" s="28">
        <f>IF(E167="","",E167-N(F167))</f>
        <v/>
      </c>
      <c r="H167" s="12" t="n"/>
      <c r="I167" s="12" t="n"/>
    </row>
    <row r="168">
      <c r="A168" s="38" t="n"/>
      <c r="B168" s="12" t="n"/>
      <c r="C168" s="12" t="n"/>
      <c r="D168" s="12" t="n"/>
      <c r="E168" s="27" t="n"/>
      <c r="F168" s="27" t="n"/>
      <c r="G168" s="28">
        <f>IF(E168="","",E168-N(F168))</f>
        <v/>
      </c>
      <c r="H168" s="12" t="n"/>
      <c r="I168" s="12" t="n"/>
    </row>
    <row r="169">
      <c r="A169" s="38" t="n"/>
      <c r="B169" s="12" t="n"/>
      <c r="C169" s="12" t="n"/>
      <c r="D169" s="12" t="n"/>
      <c r="E169" s="27" t="n"/>
      <c r="F169" s="27" t="n"/>
      <c r="G169" s="28">
        <f>IF(E169="","",E169-N(F169))</f>
        <v/>
      </c>
      <c r="H169" s="12" t="n"/>
      <c r="I169" s="12" t="n"/>
    </row>
    <row r="170">
      <c r="A170" s="38" t="n"/>
      <c r="B170" s="12" t="n"/>
      <c r="C170" s="12" t="n"/>
      <c r="D170" s="12" t="n"/>
      <c r="E170" s="27" t="n"/>
      <c r="F170" s="27" t="n"/>
      <c r="G170" s="28">
        <f>IF(E170="","",E170-N(F170))</f>
        <v/>
      </c>
      <c r="H170" s="12" t="n"/>
      <c r="I170" s="12" t="n"/>
    </row>
    <row r="171">
      <c r="A171" s="38" t="n"/>
      <c r="B171" s="12" t="n"/>
      <c r="C171" s="12" t="n"/>
      <c r="D171" s="12" t="n"/>
      <c r="E171" s="27" t="n"/>
      <c r="F171" s="27" t="n"/>
      <c r="G171" s="28">
        <f>IF(E171="","",E171-N(F171))</f>
        <v/>
      </c>
      <c r="H171" s="12" t="n"/>
      <c r="I171" s="12" t="n"/>
    </row>
    <row r="172">
      <c r="A172" s="38" t="n"/>
      <c r="B172" s="12" t="n"/>
      <c r="C172" s="12" t="n"/>
      <c r="D172" s="12" t="n"/>
      <c r="E172" s="27" t="n"/>
      <c r="F172" s="27" t="n"/>
      <c r="G172" s="28">
        <f>IF(E172="","",E172-N(F172))</f>
        <v/>
      </c>
      <c r="H172" s="12" t="n"/>
      <c r="I172" s="12" t="n"/>
    </row>
    <row r="173">
      <c r="A173" s="38" t="n"/>
      <c r="B173" s="12" t="n"/>
      <c r="C173" s="12" t="n"/>
      <c r="D173" s="12" t="n"/>
      <c r="E173" s="27" t="n"/>
      <c r="F173" s="27" t="n"/>
      <c r="G173" s="28">
        <f>IF(E173="","",E173-N(F173))</f>
        <v/>
      </c>
      <c r="H173" s="12" t="n"/>
      <c r="I173" s="12" t="n"/>
    </row>
    <row r="174">
      <c r="A174" s="38" t="n"/>
      <c r="B174" s="12" t="n"/>
      <c r="C174" s="12" t="n"/>
      <c r="D174" s="12" t="n"/>
      <c r="E174" s="27" t="n"/>
      <c r="F174" s="27" t="n"/>
      <c r="G174" s="28">
        <f>IF(E174="","",E174-N(F174))</f>
        <v/>
      </c>
      <c r="H174" s="12" t="n"/>
      <c r="I174" s="12" t="n"/>
    </row>
    <row r="175">
      <c r="A175" s="38" t="n"/>
      <c r="B175" s="12" t="n"/>
      <c r="C175" s="12" t="n"/>
      <c r="D175" s="12" t="n"/>
      <c r="E175" s="27" t="n"/>
      <c r="F175" s="27" t="n"/>
      <c r="G175" s="28">
        <f>IF(E175="","",E175-N(F175))</f>
        <v/>
      </c>
      <c r="H175" s="12" t="n"/>
      <c r="I175" s="12" t="n"/>
    </row>
    <row r="176">
      <c r="A176" s="38" t="n"/>
      <c r="B176" s="12" t="n"/>
      <c r="C176" s="12" t="n"/>
      <c r="D176" s="12" t="n"/>
      <c r="E176" s="27" t="n"/>
      <c r="F176" s="27" t="n"/>
      <c r="G176" s="28">
        <f>IF(E176="","",E176-N(F176))</f>
        <v/>
      </c>
      <c r="H176" s="12" t="n"/>
      <c r="I176" s="12" t="n"/>
    </row>
    <row r="177">
      <c r="A177" s="38" t="n"/>
      <c r="B177" s="12" t="n"/>
      <c r="C177" s="12" t="n"/>
      <c r="D177" s="12" t="n"/>
      <c r="E177" s="27" t="n"/>
      <c r="F177" s="27" t="n"/>
      <c r="G177" s="28">
        <f>IF(E177="","",E177-N(F177))</f>
        <v/>
      </c>
      <c r="H177" s="12" t="n"/>
      <c r="I177" s="12" t="n"/>
    </row>
    <row r="178">
      <c r="A178" s="38" t="n"/>
      <c r="B178" s="12" t="n"/>
      <c r="C178" s="12" t="n"/>
      <c r="D178" s="12" t="n"/>
      <c r="E178" s="27" t="n"/>
      <c r="F178" s="27" t="n"/>
      <c r="G178" s="28">
        <f>IF(E178="","",E178-N(F178))</f>
        <v/>
      </c>
      <c r="H178" s="12" t="n"/>
      <c r="I178" s="12" t="n"/>
    </row>
    <row r="179">
      <c r="A179" s="38" t="n"/>
      <c r="B179" s="12" t="n"/>
      <c r="C179" s="12" t="n"/>
      <c r="D179" s="12" t="n"/>
      <c r="E179" s="27" t="n"/>
      <c r="F179" s="27" t="n"/>
      <c r="G179" s="28">
        <f>IF(E179="","",E179-N(F179))</f>
        <v/>
      </c>
      <c r="H179" s="12" t="n"/>
      <c r="I179" s="12" t="n"/>
    </row>
    <row r="180">
      <c r="A180" s="38" t="n"/>
      <c r="B180" s="12" t="n"/>
      <c r="C180" s="12" t="n"/>
      <c r="D180" s="12" t="n"/>
      <c r="E180" s="27" t="n"/>
      <c r="F180" s="27" t="n"/>
      <c r="G180" s="28">
        <f>IF(E180="","",E180-N(F180))</f>
        <v/>
      </c>
      <c r="H180" s="12" t="n"/>
      <c r="I180" s="12" t="n"/>
    </row>
    <row r="181">
      <c r="A181" s="38" t="n"/>
      <c r="B181" s="12" t="n"/>
      <c r="C181" s="12" t="n"/>
      <c r="D181" s="12" t="n"/>
      <c r="E181" s="27" t="n"/>
      <c r="F181" s="27" t="n"/>
      <c r="G181" s="28">
        <f>IF(E181="","",E181-N(F181))</f>
        <v/>
      </c>
      <c r="H181" s="12" t="n"/>
      <c r="I181" s="12" t="n"/>
    </row>
    <row r="182">
      <c r="A182" s="38" t="n"/>
      <c r="B182" s="12" t="n"/>
      <c r="C182" s="12" t="n"/>
      <c r="D182" s="12" t="n"/>
      <c r="E182" s="27" t="n"/>
      <c r="F182" s="27" t="n"/>
      <c r="G182" s="28">
        <f>IF(E182="","",E182-N(F182))</f>
        <v/>
      </c>
      <c r="H182" s="12" t="n"/>
      <c r="I182" s="12" t="n"/>
    </row>
    <row r="183">
      <c r="A183" s="38" t="n"/>
      <c r="B183" s="12" t="n"/>
      <c r="C183" s="12" t="n"/>
      <c r="D183" s="12" t="n"/>
      <c r="E183" s="27" t="n"/>
      <c r="F183" s="27" t="n"/>
      <c r="G183" s="28">
        <f>IF(E183="","",E183-N(F183))</f>
        <v/>
      </c>
      <c r="H183" s="12" t="n"/>
      <c r="I183" s="12" t="n"/>
    </row>
    <row r="184">
      <c r="A184" s="38" t="n"/>
      <c r="B184" s="12" t="n"/>
      <c r="C184" s="12" t="n"/>
      <c r="D184" s="12" t="n"/>
      <c r="E184" s="27" t="n"/>
      <c r="F184" s="27" t="n"/>
      <c r="G184" s="28">
        <f>IF(E184="","",E184-N(F184))</f>
        <v/>
      </c>
      <c r="H184" s="12" t="n"/>
      <c r="I184" s="12" t="n"/>
    </row>
    <row r="185">
      <c r="A185" s="38" t="n"/>
      <c r="B185" s="12" t="n"/>
      <c r="C185" s="12" t="n"/>
      <c r="D185" s="12" t="n"/>
      <c r="E185" s="27" t="n"/>
      <c r="F185" s="27" t="n"/>
      <c r="G185" s="28">
        <f>IF(E185="","",E185-N(F185))</f>
        <v/>
      </c>
      <c r="H185" s="12" t="n"/>
      <c r="I185" s="12" t="n"/>
    </row>
    <row r="186">
      <c r="A186" s="38" t="n"/>
      <c r="B186" s="12" t="n"/>
      <c r="C186" s="12" t="n"/>
      <c r="D186" s="12" t="n"/>
      <c r="E186" s="27" t="n"/>
      <c r="F186" s="27" t="n"/>
      <c r="G186" s="28">
        <f>IF(E186="","",E186-N(F186))</f>
        <v/>
      </c>
      <c r="H186" s="12" t="n"/>
      <c r="I186" s="12" t="n"/>
    </row>
    <row r="187">
      <c r="A187" s="38" t="n"/>
      <c r="B187" s="12" t="n"/>
      <c r="C187" s="12" t="n"/>
      <c r="D187" s="12" t="n"/>
      <c r="E187" s="27" t="n"/>
      <c r="F187" s="27" t="n"/>
      <c r="G187" s="28">
        <f>IF(E187="","",E187-N(F187))</f>
        <v/>
      </c>
      <c r="H187" s="12" t="n"/>
      <c r="I187" s="12" t="n"/>
    </row>
    <row r="188">
      <c r="A188" s="38" t="n"/>
      <c r="B188" s="12" t="n"/>
      <c r="C188" s="12" t="n"/>
      <c r="D188" s="12" t="n"/>
      <c r="E188" s="27" t="n"/>
      <c r="F188" s="27" t="n"/>
      <c r="G188" s="28">
        <f>IF(E188="","",E188-N(F188))</f>
        <v/>
      </c>
      <c r="H188" s="12" t="n"/>
      <c r="I188" s="12" t="n"/>
    </row>
    <row r="189">
      <c r="A189" s="38" t="n"/>
      <c r="B189" s="12" t="n"/>
      <c r="C189" s="12" t="n"/>
      <c r="D189" s="12" t="n"/>
      <c r="E189" s="27" t="n"/>
      <c r="F189" s="27" t="n"/>
      <c r="G189" s="28">
        <f>IF(E189="","",E189-N(F189))</f>
        <v/>
      </c>
      <c r="H189" s="12" t="n"/>
      <c r="I189" s="12" t="n"/>
    </row>
    <row r="190">
      <c r="A190" s="38" t="n"/>
      <c r="B190" s="12" t="n"/>
      <c r="C190" s="12" t="n"/>
      <c r="D190" s="12" t="n"/>
      <c r="E190" s="27" t="n"/>
      <c r="F190" s="27" t="n"/>
      <c r="G190" s="28">
        <f>IF(E190="","",E190-N(F190))</f>
        <v/>
      </c>
      <c r="H190" s="12" t="n"/>
      <c r="I190" s="12" t="n"/>
    </row>
    <row r="191">
      <c r="A191" s="38" t="n"/>
      <c r="B191" s="12" t="n"/>
      <c r="C191" s="12" t="n"/>
      <c r="D191" s="12" t="n"/>
      <c r="E191" s="27" t="n"/>
      <c r="F191" s="27" t="n"/>
      <c r="G191" s="28">
        <f>IF(E191="","",E191-N(F191))</f>
        <v/>
      </c>
      <c r="H191" s="12" t="n"/>
      <c r="I191" s="12" t="n"/>
    </row>
    <row r="192">
      <c r="A192" s="38" t="n"/>
      <c r="B192" s="12" t="n"/>
      <c r="C192" s="12" t="n"/>
      <c r="D192" s="12" t="n"/>
      <c r="E192" s="27" t="n"/>
      <c r="F192" s="27" t="n"/>
      <c r="G192" s="28">
        <f>IF(E192="","",E192-N(F192))</f>
        <v/>
      </c>
      <c r="H192" s="12" t="n"/>
      <c r="I192" s="12" t="n"/>
    </row>
    <row r="193">
      <c r="A193" s="38" t="n"/>
      <c r="B193" s="12" t="n"/>
      <c r="C193" s="12" t="n"/>
      <c r="D193" s="12" t="n"/>
      <c r="E193" s="27" t="n"/>
      <c r="F193" s="27" t="n"/>
      <c r="G193" s="28">
        <f>IF(E193="","",E193-N(F193))</f>
        <v/>
      </c>
      <c r="H193" s="12" t="n"/>
      <c r="I193" s="12" t="n"/>
    </row>
    <row r="194">
      <c r="A194" s="38" t="n"/>
      <c r="B194" s="12" t="n"/>
      <c r="C194" s="12" t="n"/>
      <c r="D194" s="12" t="n"/>
      <c r="E194" s="27" t="n"/>
      <c r="F194" s="27" t="n"/>
      <c r="G194" s="28">
        <f>IF(E194="","",E194-N(F194))</f>
        <v/>
      </c>
      <c r="H194" s="12" t="n"/>
      <c r="I194" s="12" t="n"/>
    </row>
    <row r="195">
      <c r="A195" s="38" t="n"/>
      <c r="B195" s="12" t="n"/>
      <c r="C195" s="12" t="n"/>
      <c r="D195" s="12" t="n"/>
      <c r="E195" s="27" t="n"/>
      <c r="F195" s="27" t="n"/>
      <c r="G195" s="28">
        <f>IF(E195="","",E195-N(F195))</f>
        <v/>
      </c>
      <c r="H195" s="12" t="n"/>
      <c r="I195" s="12" t="n"/>
    </row>
    <row r="196">
      <c r="A196" s="38" t="n"/>
      <c r="B196" s="12" t="n"/>
      <c r="C196" s="12" t="n"/>
      <c r="D196" s="12" t="n"/>
      <c r="E196" s="27" t="n"/>
      <c r="F196" s="27" t="n"/>
      <c r="G196" s="28">
        <f>IF(E196="","",E196-N(F196))</f>
        <v/>
      </c>
      <c r="H196" s="12" t="n"/>
      <c r="I196" s="12" t="n"/>
    </row>
    <row r="197">
      <c r="A197" s="38" t="n"/>
      <c r="B197" s="12" t="n"/>
      <c r="C197" s="12" t="n"/>
      <c r="D197" s="12" t="n"/>
      <c r="E197" s="27" t="n"/>
      <c r="F197" s="27" t="n"/>
      <c r="G197" s="28">
        <f>IF(E197="","",E197-N(F197))</f>
        <v/>
      </c>
      <c r="H197" s="12" t="n"/>
      <c r="I197" s="12" t="n"/>
    </row>
    <row r="198">
      <c r="A198" s="38" t="n"/>
      <c r="B198" s="12" t="n"/>
      <c r="C198" s="12" t="n"/>
      <c r="D198" s="12" t="n"/>
      <c r="E198" s="27" t="n"/>
      <c r="F198" s="27" t="n"/>
      <c r="G198" s="28">
        <f>IF(E198="","",E198-N(F198))</f>
        <v/>
      </c>
      <c r="H198" s="12" t="n"/>
      <c r="I198" s="12" t="n"/>
    </row>
    <row r="199">
      <c r="A199" s="38" t="n"/>
      <c r="B199" s="12" t="n"/>
      <c r="C199" s="12" t="n"/>
      <c r="D199" s="12" t="n"/>
      <c r="E199" s="27" t="n"/>
      <c r="F199" s="27" t="n"/>
      <c r="G199" s="28">
        <f>IF(E199="","",E199-N(F199))</f>
        <v/>
      </c>
      <c r="H199" s="12" t="n"/>
      <c r="I199" s="12" t="n"/>
    </row>
    <row r="200">
      <c r="A200" s="38" t="n"/>
      <c r="B200" s="12" t="n"/>
      <c r="C200" s="12" t="n"/>
      <c r="D200" s="12" t="n"/>
      <c r="E200" s="27" t="n"/>
      <c r="F200" s="27" t="n"/>
      <c r="G200" s="28">
        <f>IF(E200="","",E200-N(F200))</f>
        <v/>
      </c>
      <c r="H200" s="12" t="n"/>
      <c r="I200" s="12" t="n"/>
    </row>
    <row r="201">
      <c r="A201" s="38" t="n"/>
      <c r="B201" s="12" t="n"/>
      <c r="C201" s="12" t="n"/>
      <c r="D201" s="12" t="n"/>
      <c r="E201" s="27" t="n"/>
      <c r="F201" s="27" t="n"/>
      <c r="G201" s="28">
        <f>IF(E201="","",E201-N(F201))</f>
        <v/>
      </c>
      <c r="H201" s="12" t="n"/>
      <c r="I201" s="12" t="n"/>
    </row>
    <row r="202">
      <c r="A202" s="38" t="n"/>
      <c r="B202" s="12" t="n"/>
      <c r="C202" s="12" t="n"/>
      <c r="D202" s="12" t="n"/>
      <c r="E202" s="27" t="n"/>
      <c r="F202" s="27" t="n"/>
      <c r="G202" s="28">
        <f>IF(E202="","",E202-N(F202))</f>
        <v/>
      </c>
      <c r="H202" s="12" t="n"/>
      <c r="I202" s="12" t="n"/>
    </row>
    <row r="203">
      <c r="A203" s="38" t="n"/>
      <c r="B203" s="12" t="n"/>
      <c r="C203" s="12" t="n"/>
      <c r="D203" s="12" t="n"/>
      <c r="E203" s="27" t="n"/>
      <c r="F203" s="27" t="n"/>
      <c r="G203" s="28">
        <f>IF(E203="","",E203-N(F203))</f>
        <v/>
      </c>
      <c r="H203" s="12" t="n"/>
      <c r="I203" s="12" t="n"/>
    </row>
    <row r="204">
      <c r="A204" s="38" t="n"/>
      <c r="B204" s="12" t="n"/>
      <c r="C204" s="12" t="n"/>
      <c r="D204" s="12" t="n"/>
      <c r="E204" s="27" t="n"/>
      <c r="F204" s="27" t="n"/>
      <c r="G204" s="28">
        <f>IF(E204="","",E204-N(F204))</f>
        <v/>
      </c>
      <c r="H204" s="12" t="n"/>
      <c r="I204" s="12" t="n"/>
    </row>
    <row r="205">
      <c r="A205" s="38" t="n"/>
      <c r="B205" s="12" t="n"/>
      <c r="C205" s="12" t="n"/>
      <c r="D205" s="12" t="n"/>
      <c r="E205" s="27" t="n"/>
      <c r="F205" s="27" t="n"/>
      <c r="G205" s="28">
        <f>IF(E205="","",E205-N(F205))</f>
        <v/>
      </c>
      <c r="H205" s="12" t="n"/>
      <c r="I205" s="12" t="n"/>
    </row>
    <row r="206">
      <c r="A206" s="38" t="n"/>
      <c r="B206" s="12" t="n"/>
      <c r="C206" s="12" t="n"/>
      <c r="D206" s="12" t="n"/>
      <c r="E206" s="27" t="n"/>
      <c r="F206" s="27" t="n"/>
      <c r="G206" s="28">
        <f>IF(E206="","",E206-N(F206))</f>
        <v/>
      </c>
      <c r="H206" s="12" t="n"/>
      <c r="I206" s="12" t="n"/>
    </row>
    <row r="207">
      <c r="A207" s="38" t="n"/>
      <c r="B207" s="12" t="n"/>
      <c r="C207" s="12" t="n"/>
      <c r="D207" s="12" t="n"/>
      <c r="E207" s="27" t="n"/>
      <c r="F207" s="27" t="n"/>
      <c r="G207" s="28">
        <f>IF(E207="","",E207-N(F207))</f>
        <v/>
      </c>
      <c r="H207" s="12" t="n"/>
      <c r="I207" s="12" t="n"/>
    </row>
    <row r="208">
      <c r="A208" s="38" t="n"/>
      <c r="B208" s="12" t="n"/>
      <c r="C208" s="12" t="n"/>
      <c r="D208" s="12" t="n"/>
      <c r="E208" s="27" t="n"/>
      <c r="F208" s="27" t="n"/>
      <c r="G208" s="28">
        <f>IF(E208="","",E208-N(F208))</f>
        <v/>
      </c>
      <c r="H208" s="12" t="n"/>
      <c r="I208" s="12" t="n"/>
    </row>
    <row r="209">
      <c r="A209" s="38" t="n"/>
      <c r="B209" s="12" t="n"/>
      <c r="C209" s="12" t="n"/>
      <c r="D209" s="12" t="n"/>
      <c r="E209" s="27" t="n"/>
      <c r="F209" s="27" t="n"/>
      <c r="G209" s="28">
        <f>IF(E209="","",E209-N(F209))</f>
        <v/>
      </c>
      <c r="H209" s="12" t="n"/>
      <c r="I209" s="12" t="n"/>
    </row>
    <row r="210">
      <c r="A210" s="38" t="n"/>
      <c r="B210" s="12" t="n"/>
      <c r="C210" s="12" t="n"/>
      <c r="D210" s="12" t="n"/>
      <c r="E210" s="27" t="n"/>
      <c r="F210" s="27" t="n"/>
      <c r="G210" s="28">
        <f>IF(E210="","",E210-N(F210))</f>
        <v/>
      </c>
      <c r="H210" s="12" t="n"/>
      <c r="I210" s="12" t="n"/>
    </row>
    <row r="211">
      <c r="A211" s="38" t="n"/>
      <c r="B211" s="12" t="n"/>
      <c r="C211" s="12" t="n"/>
      <c r="D211" s="12" t="n"/>
      <c r="E211" s="27" t="n"/>
      <c r="F211" s="27" t="n"/>
      <c r="G211" s="28">
        <f>IF(E211="","",E211-N(F211))</f>
        <v/>
      </c>
      <c r="H211" s="12" t="n"/>
      <c r="I211" s="12" t="n"/>
    </row>
    <row r="212">
      <c r="A212" s="38" t="n"/>
      <c r="B212" s="12" t="n"/>
      <c r="C212" s="12" t="n"/>
      <c r="D212" s="12" t="n"/>
      <c r="E212" s="27" t="n"/>
      <c r="F212" s="27" t="n"/>
      <c r="G212" s="28">
        <f>IF(E212="","",E212-N(F212))</f>
        <v/>
      </c>
      <c r="H212" s="12" t="n"/>
      <c r="I212" s="12" t="n"/>
    </row>
    <row r="213">
      <c r="A213" s="38" t="n"/>
      <c r="B213" s="12" t="n"/>
      <c r="C213" s="12" t="n"/>
      <c r="D213" s="12" t="n"/>
      <c r="E213" s="27" t="n"/>
      <c r="F213" s="27" t="n"/>
      <c r="G213" s="28">
        <f>IF(E213="","",E213-N(F213))</f>
        <v/>
      </c>
      <c r="H213" s="12" t="n"/>
      <c r="I213" s="12" t="n"/>
    </row>
    <row r="214">
      <c r="A214" s="38" t="n"/>
      <c r="B214" s="12" t="n"/>
      <c r="C214" s="12" t="n"/>
      <c r="D214" s="12" t="n"/>
      <c r="E214" s="27" t="n"/>
      <c r="F214" s="27" t="n"/>
      <c r="G214" s="28">
        <f>IF(E214="","",E214-N(F214))</f>
        <v/>
      </c>
      <c r="H214" s="12" t="n"/>
      <c r="I214" s="12" t="n"/>
    </row>
    <row r="215">
      <c r="A215" s="38" t="n"/>
      <c r="B215" s="12" t="n"/>
      <c r="C215" s="12" t="n"/>
      <c r="D215" s="12" t="n"/>
      <c r="E215" s="27" t="n"/>
      <c r="F215" s="27" t="n"/>
      <c r="G215" s="28">
        <f>IF(E215="","",E215-N(F215))</f>
        <v/>
      </c>
      <c r="H215" s="12" t="n"/>
      <c r="I215" s="12" t="n"/>
    </row>
    <row r="216">
      <c r="A216" s="38" t="n"/>
      <c r="B216" s="12" t="n"/>
      <c r="C216" s="12" t="n"/>
      <c r="D216" s="12" t="n"/>
      <c r="E216" s="27" t="n"/>
      <c r="F216" s="27" t="n"/>
      <c r="G216" s="28">
        <f>IF(E216="","",E216-N(F216))</f>
        <v/>
      </c>
      <c r="H216" s="12" t="n"/>
      <c r="I216" s="12" t="n"/>
    </row>
    <row r="217">
      <c r="A217" s="38" t="n"/>
      <c r="B217" s="12" t="n"/>
      <c r="C217" s="12" t="n"/>
      <c r="D217" s="12" t="n"/>
      <c r="E217" s="27" t="n"/>
      <c r="F217" s="27" t="n"/>
      <c r="G217" s="28">
        <f>IF(E217="","",E217-N(F217))</f>
        <v/>
      </c>
      <c r="H217" s="12" t="n"/>
      <c r="I217" s="12" t="n"/>
    </row>
    <row r="218">
      <c r="A218" s="38" t="n"/>
      <c r="B218" s="12" t="n"/>
      <c r="C218" s="12" t="n"/>
      <c r="D218" s="12" t="n"/>
      <c r="E218" s="27" t="n"/>
      <c r="F218" s="27" t="n"/>
      <c r="G218" s="28">
        <f>IF(E218="","",E218-N(F218))</f>
        <v/>
      </c>
      <c r="H218" s="12" t="n"/>
      <c r="I218" s="12" t="n"/>
    </row>
    <row r="219">
      <c r="A219" s="38" t="n"/>
      <c r="B219" s="12" t="n"/>
      <c r="C219" s="12" t="n"/>
      <c r="D219" s="12" t="n"/>
      <c r="E219" s="27" t="n"/>
      <c r="F219" s="27" t="n"/>
      <c r="G219" s="28">
        <f>IF(E219="","",E219-N(F219))</f>
        <v/>
      </c>
      <c r="H219" s="12" t="n"/>
      <c r="I219" s="12" t="n"/>
    </row>
    <row r="220">
      <c r="A220" s="38" t="n"/>
      <c r="B220" s="12" t="n"/>
      <c r="C220" s="12" t="n"/>
      <c r="D220" s="12" t="n"/>
      <c r="E220" s="27" t="n"/>
      <c r="F220" s="27" t="n"/>
      <c r="G220" s="28">
        <f>IF(E220="","",E220-N(F220))</f>
        <v/>
      </c>
      <c r="H220" s="12" t="n"/>
      <c r="I220" s="12" t="n"/>
    </row>
    <row r="221">
      <c r="A221" s="38" t="n"/>
      <c r="B221" s="12" t="n"/>
      <c r="C221" s="12" t="n"/>
      <c r="D221" s="12" t="n"/>
      <c r="E221" s="27" t="n"/>
      <c r="F221" s="27" t="n"/>
      <c r="G221" s="28">
        <f>IF(E221="","",E221-N(F221))</f>
        <v/>
      </c>
      <c r="H221" s="12" t="n"/>
      <c r="I221" s="12" t="n"/>
    </row>
    <row r="222">
      <c r="A222" s="38" t="n"/>
      <c r="B222" s="12" t="n"/>
      <c r="C222" s="12" t="n"/>
      <c r="D222" s="12" t="n"/>
      <c r="E222" s="27" t="n"/>
      <c r="F222" s="27" t="n"/>
      <c r="G222" s="28">
        <f>IF(E222="","",E222-N(F222))</f>
        <v/>
      </c>
      <c r="H222" s="12" t="n"/>
      <c r="I222" s="12" t="n"/>
    </row>
    <row r="223">
      <c r="A223" s="38" t="n"/>
      <c r="B223" s="12" t="n"/>
      <c r="C223" s="12" t="n"/>
      <c r="D223" s="12" t="n"/>
      <c r="E223" s="27" t="n"/>
      <c r="F223" s="27" t="n"/>
      <c r="G223" s="28">
        <f>IF(E223="","",E223-N(F223))</f>
        <v/>
      </c>
      <c r="H223" s="12" t="n"/>
      <c r="I223" s="12" t="n"/>
    </row>
    <row r="224">
      <c r="A224" s="38" t="n"/>
      <c r="B224" s="12" t="n"/>
      <c r="C224" s="12" t="n"/>
      <c r="D224" s="12" t="n"/>
      <c r="E224" s="27" t="n"/>
      <c r="F224" s="27" t="n"/>
      <c r="G224" s="28">
        <f>IF(E224="","",E224-N(F224))</f>
        <v/>
      </c>
      <c r="H224" s="12" t="n"/>
      <c r="I224" s="12" t="n"/>
    </row>
    <row r="225">
      <c r="A225" s="38" t="n"/>
      <c r="B225" s="12" t="n"/>
      <c r="C225" s="12" t="n"/>
      <c r="D225" s="12" t="n"/>
      <c r="E225" s="27" t="n"/>
      <c r="F225" s="27" t="n"/>
      <c r="G225" s="28">
        <f>IF(E225="","",E225-N(F225))</f>
        <v/>
      </c>
      <c r="H225" s="12" t="n"/>
      <c r="I225" s="12" t="n"/>
    </row>
    <row r="226">
      <c r="A226" s="38" t="n"/>
      <c r="B226" s="12" t="n"/>
      <c r="C226" s="12" t="n"/>
      <c r="D226" s="12" t="n"/>
      <c r="E226" s="27" t="n"/>
      <c r="F226" s="27" t="n"/>
      <c r="G226" s="28">
        <f>IF(E226="","",E226-N(F226))</f>
        <v/>
      </c>
      <c r="H226" s="12" t="n"/>
      <c r="I226" s="12" t="n"/>
    </row>
    <row r="227">
      <c r="A227" s="38" t="n"/>
      <c r="B227" s="12" t="n"/>
      <c r="C227" s="12" t="n"/>
      <c r="D227" s="12" t="n"/>
      <c r="E227" s="27" t="n"/>
      <c r="F227" s="27" t="n"/>
      <c r="G227" s="28">
        <f>IF(E227="","",E227-N(F227))</f>
        <v/>
      </c>
      <c r="H227" s="12" t="n"/>
      <c r="I227" s="12" t="n"/>
    </row>
    <row r="228">
      <c r="A228" s="38" t="n"/>
      <c r="B228" s="12" t="n"/>
      <c r="C228" s="12" t="n"/>
      <c r="D228" s="12" t="n"/>
      <c r="E228" s="27" t="n"/>
      <c r="F228" s="27" t="n"/>
      <c r="G228" s="28">
        <f>IF(E228="","",E228-N(F228))</f>
        <v/>
      </c>
      <c r="H228" s="12" t="n"/>
      <c r="I228" s="12" t="n"/>
    </row>
    <row r="229">
      <c r="A229" s="38" t="n"/>
      <c r="B229" s="12" t="n"/>
      <c r="C229" s="12" t="n"/>
      <c r="D229" s="12" t="n"/>
      <c r="E229" s="27" t="n"/>
      <c r="F229" s="27" t="n"/>
      <c r="G229" s="28">
        <f>IF(E229="","",E229-N(F229))</f>
        <v/>
      </c>
      <c r="H229" s="12" t="n"/>
      <c r="I229" s="12" t="n"/>
    </row>
    <row r="230">
      <c r="A230" s="38" t="n"/>
      <c r="B230" s="12" t="n"/>
      <c r="C230" s="12" t="n"/>
      <c r="D230" s="12" t="n"/>
      <c r="E230" s="27" t="n"/>
      <c r="F230" s="27" t="n"/>
      <c r="G230" s="28">
        <f>IF(E230="","",E230-N(F230))</f>
        <v/>
      </c>
      <c r="H230" s="12" t="n"/>
      <c r="I230" s="12" t="n"/>
    </row>
    <row r="231">
      <c r="A231" s="38" t="n"/>
      <c r="B231" s="12" t="n"/>
      <c r="C231" s="12" t="n"/>
      <c r="D231" s="12" t="n"/>
      <c r="E231" s="27" t="n"/>
      <c r="F231" s="27" t="n"/>
      <c r="G231" s="28">
        <f>IF(E231="","",E231-N(F231))</f>
        <v/>
      </c>
      <c r="H231" s="12" t="n"/>
      <c r="I231" s="12" t="n"/>
    </row>
    <row r="232">
      <c r="A232" s="38" t="n"/>
      <c r="B232" s="12" t="n"/>
      <c r="C232" s="12" t="n"/>
      <c r="D232" s="12" t="n"/>
      <c r="E232" s="27" t="n"/>
      <c r="F232" s="27" t="n"/>
      <c r="G232" s="28">
        <f>IF(E232="","",E232-N(F232))</f>
        <v/>
      </c>
      <c r="H232" s="12" t="n"/>
      <c r="I232" s="12" t="n"/>
    </row>
    <row r="233">
      <c r="A233" s="38" t="n"/>
      <c r="B233" s="12" t="n"/>
      <c r="C233" s="12" t="n"/>
      <c r="D233" s="12" t="n"/>
      <c r="E233" s="27" t="n"/>
      <c r="F233" s="27" t="n"/>
      <c r="G233" s="28">
        <f>IF(E233="","",E233-N(F233))</f>
        <v/>
      </c>
      <c r="H233" s="12" t="n"/>
      <c r="I233" s="12" t="n"/>
    </row>
    <row r="234">
      <c r="A234" s="38" t="n"/>
      <c r="B234" s="12" t="n"/>
      <c r="C234" s="12" t="n"/>
      <c r="D234" s="12" t="n"/>
      <c r="E234" s="27" t="n"/>
      <c r="F234" s="27" t="n"/>
      <c r="G234" s="28">
        <f>IF(E234="","",E234-N(F234))</f>
        <v/>
      </c>
      <c r="H234" s="12" t="n"/>
      <c r="I234" s="12" t="n"/>
    </row>
    <row r="235">
      <c r="A235" s="38" t="n"/>
      <c r="B235" s="12" t="n"/>
      <c r="C235" s="12" t="n"/>
      <c r="D235" s="12" t="n"/>
      <c r="E235" s="27" t="n"/>
      <c r="F235" s="27" t="n"/>
      <c r="G235" s="28">
        <f>IF(E235="","",E235-N(F235))</f>
        <v/>
      </c>
      <c r="H235" s="12" t="n"/>
      <c r="I235" s="12" t="n"/>
    </row>
    <row r="236">
      <c r="A236" s="38" t="n"/>
      <c r="B236" s="12" t="n"/>
      <c r="C236" s="12" t="n"/>
      <c r="D236" s="12" t="n"/>
      <c r="E236" s="27" t="n"/>
      <c r="F236" s="27" t="n"/>
      <c r="G236" s="28">
        <f>IF(E236="","",E236-N(F236))</f>
        <v/>
      </c>
      <c r="H236" s="12" t="n"/>
      <c r="I236" s="12" t="n"/>
    </row>
    <row r="237">
      <c r="A237" s="38" t="n"/>
      <c r="B237" s="12" t="n"/>
      <c r="C237" s="12" t="n"/>
      <c r="D237" s="12" t="n"/>
      <c r="E237" s="27" t="n"/>
      <c r="F237" s="27" t="n"/>
      <c r="G237" s="28">
        <f>IF(E237="","",E237-N(F237))</f>
        <v/>
      </c>
      <c r="H237" s="12" t="n"/>
      <c r="I237" s="12" t="n"/>
    </row>
    <row r="238">
      <c r="A238" s="38" t="n"/>
      <c r="B238" s="12" t="n"/>
      <c r="C238" s="12" t="n"/>
      <c r="D238" s="12" t="n"/>
      <c r="E238" s="27" t="n"/>
      <c r="F238" s="27" t="n"/>
      <c r="G238" s="28">
        <f>IF(E238="","",E238-N(F238))</f>
        <v/>
      </c>
      <c r="H238" s="12" t="n"/>
      <c r="I238" s="12" t="n"/>
    </row>
    <row r="239">
      <c r="A239" s="38" t="n"/>
      <c r="B239" s="12" t="n"/>
      <c r="C239" s="12" t="n"/>
      <c r="D239" s="12" t="n"/>
      <c r="E239" s="27" t="n"/>
      <c r="F239" s="27" t="n"/>
      <c r="G239" s="28">
        <f>IF(E239="","",E239-N(F239))</f>
        <v/>
      </c>
      <c r="H239" s="12" t="n"/>
      <c r="I239" s="12" t="n"/>
    </row>
    <row r="240">
      <c r="A240" s="38" t="n"/>
      <c r="B240" s="12" t="n"/>
      <c r="C240" s="12" t="n"/>
      <c r="D240" s="12" t="n"/>
      <c r="E240" s="27" t="n"/>
      <c r="F240" s="27" t="n"/>
      <c r="G240" s="28">
        <f>IF(E240="","",E240-N(F240))</f>
        <v/>
      </c>
      <c r="H240" s="12" t="n"/>
      <c r="I240" s="12" t="n"/>
    </row>
    <row r="241">
      <c r="A241" s="38" t="n"/>
      <c r="B241" s="12" t="n"/>
      <c r="C241" s="12" t="n"/>
      <c r="D241" s="12" t="n"/>
      <c r="E241" s="27" t="n"/>
      <c r="F241" s="27" t="n"/>
      <c r="G241" s="28">
        <f>IF(E241="","",E241-N(F241))</f>
        <v/>
      </c>
      <c r="H241" s="12" t="n"/>
      <c r="I241" s="12" t="n"/>
    </row>
    <row r="242">
      <c r="A242" s="38" t="n"/>
      <c r="B242" s="12" t="n"/>
      <c r="C242" s="12" t="n"/>
      <c r="D242" s="12" t="n"/>
      <c r="E242" s="27" t="n"/>
      <c r="F242" s="27" t="n"/>
      <c r="G242" s="28">
        <f>IF(E242="","",E242-N(F242))</f>
        <v/>
      </c>
      <c r="H242" s="12" t="n"/>
      <c r="I242" s="12" t="n"/>
    </row>
    <row r="243">
      <c r="A243" s="38" t="n"/>
      <c r="B243" s="12" t="n"/>
      <c r="C243" s="12" t="n"/>
      <c r="D243" s="12" t="n"/>
      <c r="E243" s="27" t="n"/>
      <c r="F243" s="27" t="n"/>
      <c r="G243" s="28">
        <f>IF(E243="","",E243-N(F243))</f>
        <v/>
      </c>
      <c r="H243" s="12" t="n"/>
      <c r="I243" s="12" t="n"/>
    </row>
    <row r="244">
      <c r="A244" s="38" t="n"/>
      <c r="B244" s="12" t="n"/>
      <c r="C244" s="12" t="n"/>
      <c r="D244" s="12" t="n"/>
      <c r="E244" s="27" t="n"/>
      <c r="F244" s="27" t="n"/>
      <c r="G244" s="28">
        <f>IF(E244="","",E244-N(F244))</f>
        <v/>
      </c>
      <c r="H244" s="12" t="n"/>
      <c r="I244" s="12" t="n"/>
    </row>
    <row r="245">
      <c r="A245" s="38" t="n"/>
      <c r="B245" s="12" t="n"/>
      <c r="C245" s="12" t="n"/>
      <c r="D245" s="12" t="n"/>
      <c r="E245" s="27" t="n"/>
      <c r="F245" s="27" t="n"/>
      <c r="G245" s="28">
        <f>IF(E245="","",E245-N(F245))</f>
        <v/>
      </c>
      <c r="H245" s="12" t="n"/>
      <c r="I245" s="12" t="n"/>
    </row>
    <row r="246">
      <c r="A246" s="38" t="n"/>
      <c r="B246" s="12" t="n"/>
      <c r="C246" s="12" t="n"/>
      <c r="D246" s="12" t="n"/>
      <c r="E246" s="27" t="n"/>
      <c r="F246" s="27" t="n"/>
      <c r="G246" s="28">
        <f>IF(E246="","",E246-N(F246))</f>
        <v/>
      </c>
      <c r="H246" s="12" t="n"/>
      <c r="I246" s="12" t="n"/>
    </row>
    <row r="247">
      <c r="A247" s="38" t="n"/>
      <c r="B247" s="12" t="n"/>
      <c r="C247" s="12" t="n"/>
      <c r="D247" s="12" t="n"/>
      <c r="E247" s="27" t="n"/>
      <c r="F247" s="27" t="n"/>
      <c r="G247" s="28">
        <f>IF(E247="","",E247-N(F247))</f>
        <v/>
      </c>
      <c r="H247" s="12" t="n"/>
      <c r="I247" s="12" t="n"/>
    </row>
    <row r="248">
      <c r="A248" s="38" t="n"/>
      <c r="B248" s="12" t="n"/>
      <c r="C248" s="12" t="n"/>
      <c r="D248" s="12" t="n"/>
      <c r="E248" s="27" t="n"/>
      <c r="F248" s="27" t="n"/>
      <c r="G248" s="28">
        <f>IF(E248="","",E248-N(F248))</f>
        <v/>
      </c>
      <c r="H248" s="12" t="n"/>
      <c r="I248" s="12" t="n"/>
    </row>
    <row r="249">
      <c r="A249" s="38" t="n"/>
      <c r="B249" s="12" t="n"/>
      <c r="C249" s="12" t="n"/>
      <c r="D249" s="12" t="n"/>
      <c r="E249" s="27" t="n"/>
      <c r="F249" s="27" t="n"/>
      <c r="G249" s="28">
        <f>IF(E249="","",E249-N(F249))</f>
        <v/>
      </c>
      <c r="H249" s="12" t="n"/>
      <c r="I249" s="12" t="n"/>
    </row>
    <row r="250">
      <c r="A250" s="38" t="n"/>
      <c r="B250" s="12" t="n"/>
      <c r="C250" s="12" t="n"/>
      <c r="D250" s="12" t="n"/>
      <c r="E250" s="27" t="n"/>
      <c r="F250" s="27" t="n"/>
      <c r="G250" s="28">
        <f>IF(E250="","",E250-N(F250))</f>
        <v/>
      </c>
      <c r="H250" s="12" t="n"/>
      <c r="I250" s="12" t="n"/>
    </row>
    <row r="251">
      <c r="A251" s="38" t="n"/>
      <c r="B251" s="12" t="n"/>
      <c r="C251" s="12" t="n"/>
      <c r="D251" s="12" t="n"/>
      <c r="E251" s="27" t="n"/>
      <c r="F251" s="27" t="n"/>
      <c r="G251" s="28">
        <f>IF(E251="","",E251-N(F251))</f>
        <v/>
      </c>
      <c r="H251" s="12" t="n"/>
      <c r="I251" s="12" t="n"/>
    </row>
    <row r="252">
      <c r="A252" s="38" t="n"/>
      <c r="B252" s="12" t="n"/>
      <c r="C252" s="12" t="n"/>
      <c r="D252" s="12" t="n"/>
      <c r="E252" s="27" t="n"/>
      <c r="F252" s="27" t="n"/>
      <c r="G252" s="28">
        <f>IF(E252="","",E252-N(F252))</f>
        <v/>
      </c>
      <c r="H252" s="12" t="n"/>
      <c r="I252" s="12" t="n"/>
    </row>
    <row r="253">
      <c r="A253" s="38" t="n"/>
      <c r="B253" s="12" t="n"/>
      <c r="C253" s="12" t="n"/>
      <c r="D253" s="12" t="n"/>
      <c r="E253" s="27" t="n"/>
      <c r="F253" s="27" t="n"/>
      <c r="G253" s="28">
        <f>IF(E253="","",E253-N(F253))</f>
        <v/>
      </c>
      <c r="H253" s="12" t="n"/>
      <c r="I253" s="12" t="n"/>
    </row>
    <row r="254">
      <c r="A254" s="38" t="n"/>
      <c r="B254" s="12" t="n"/>
      <c r="C254" s="12" t="n"/>
      <c r="D254" s="12" t="n"/>
      <c r="E254" s="27" t="n"/>
      <c r="F254" s="27" t="n"/>
      <c r="G254" s="28">
        <f>IF(E254="","",E254-N(F254))</f>
        <v/>
      </c>
      <c r="H254" s="12" t="n"/>
      <c r="I254" s="12" t="n"/>
    </row>
    <row r="255">
      <c r="A255" s="38" t="n"/>
      <c r="B255" s="12" t="n"/>
      <c r="C255" s="12" t="n"/>
      <c r="D255" s="12" t="n"/>
      <c r="E255" s="27" t="n"/>
      <c r="F255" s="27" t="n"/>
      <c r="G255" s="28">
        <f>IF(E255="","",E255-N(F255))</f>
        <v/>
      </c>
      <c r="H255" s="12" t="n"/>
      <c r="I255" s="12" t="n"/>
    </row>
    <row r="256">
      <c r="A256" s="38" t="n"/>
      <c r="B256" s="12" t="n"/>
      <c r="C256" s="12" t="n"/>
      <c r="D256" s="12" t="n"/>
      <c r="E256" s="27" t="n"/>
      <c r="F256" s="27" t="n"/>
      <c r="G256" s="28">
        <f>IF(E256="","",E256-N(F256))</f>
        <v/>
      </c>
      <c r="H256" s="12" t="n"/>
      <c r="I256" s="12" t="n"/>
    </row>
    <row r="257">
      <c r="A257" s="38" t="n"/>
      <c r="B257" s="12" t="n"/>
      <c r="C257" s="12" t="n"/>
      <c r="D257" s="12" t="n"/>
      <c r="E257" s="27" t="n"/>
      <c r="F257" s="27" t="n"/>
      <c r="G257" s="28">
        <f>IF(E257="","",E257-N(F257))</f>
        <v/>
      </c>
      <c r="H257" s="12" t="n"/>
      <c r="I257" s="12" t="n"/>
    </row>
    <row r="258">
      <c r="A258" s="38" t="n"/>
      <c r="B258" s="12" t="n"/>
      <c r="C258" s="12" t="n"/>
      <c r="D258" s="12" t="n"/>
      <c r="E258" s="27" t="n"/>
      <c r="F258" s="27" t="n"/>
      <c r="G258" s="28">
        <f>IF(E258="","",E258-N(F258))</f>
        <v/>
      </c>
      <c r="H258" s="12" t="n"/>
      <c r="I258" s="12" t="n"/>
    </row>
    <row r="259">
      <c r="A259" s="38" t="n"/>
      <c r="B259" s="12" t="n"/>
      <c r="C259" s="12" t="n"/>
      <c r="D259" s="12" t="n"/>
      <c r="E259" s="27" t="n"/>
      <c r="F259" s="27" t="n"/>
      <c r="G259" s="28">
        <f>IF(E259="","",E259-N(F259))</f>
        <v/>
      </c>
      <c r="H259" s="12" t="n"/>
      <c r="I259" s="12" t="n"/>
    </row>
    <row r="260">
      <c r="A260" s="38" t="n"/>
      <c r="B260" s="12" t="n"/>
      <c r="C260" s="12" t="n"/>
      <c r="D260" s="12" t="n"/>
      <c r="E260" s="27" t="n"/>
      <c r="F260" s="27" t="n"/>
      <c r="G260" s="28">
        <f>IF(E260="","",E260-N(F260))</f>
        <v/>
      </c>
      <c r="H260" s="12" t="n"/>
      <c r="I260" s="12" t="n"/>
    </row>
    <row r="261">
      <c r="A261" s="38" t="n"/>
      <c r="B261" s="12" t="n"/>
      <c r="C261" s="12" t="n"/>
      <c r="D261" s="12" t="n"/>
      <c r="E261" s="27" t="n"/>
      <c r="F261" s="27" t="n"/>
      <c r="G261" s="28">
        <f>IF(E261="","",E261-N(F261))</f>
        <v/>
      </c>
      <c r="H261" s="12" t="n"/>
      <c r="I261" s="12" t="n"/>
    </row>
    <row r="262">
      <c r="A262" s="38" t="n"/>
      <c r="B262" s="12" t="n"/>
      <c r="C262" s="12" t="n"/>
      <c r="D262" s="12" t="n"/>
      <c r="E262" s="27" t="n"/>
      <c r="F262" s="27" t="n"/>
      <c r="G262" s="28">
        <f>IF(E262="","",E262-N(F262))</f>
        <v/>
      </c>
      <c r="H262" s="12" t="n"/>
      <c r="I262" s="12" t="n"/>
    </row>
    <row r="263">
      <c r="A263" s="38" t="n"/>
      <c r="B263" s="12" t="n"/>
      <c r="C263" s="12" t="n"/>
      <c r="D263" s="12" t="n"/>
      <c r="E263" s="27" t="n"/>
      <c r="F263" s="27" t="n"/>
      <c r="G263" s="28">
        <f>IF(E263="","",E263-N(F263))</f>
        <v/>
      </c>
      <c r="H263" s="12" t="n"/>
      <c r="I263" s="12" t="n"/>
    </row>
    <row r="264">
      <c r="A264" s="38" t="n"/>
      <c r="B264" s="12" t="n"/>
      <c r="C264" s="12" t="n"/>
      <c r="D264" s="12" t="n"/>
      <c r="E264" s="27" t="n"/>
      <c r="F264" s="27" t="n"/>
      <c r="G264" s="28">
        <f>IF(E264="","",E264-N(F264))</f>
        <v/>
      </c>
      <c r="H264" s="12" t="n"/>
      <c r="I264" s="12" t="n"/>
    </row>
    <row r="265">
      <c r="A265" s="38" t="n"/>
      <c r="B265" s="12" t="n"/>
      <c r="C265" s="12" t="n"/>
      <c r="D265" s="12" t="n"/>
      <c r="E265" s="27" t="n"/>
      <c r="F265" s="27" t="n"/>
      <c r="G265" s="28">
        <f>IF(E265="","",E265-N(F265))</f>
        <v/>
      </c>
      <c r="H265" s="12" t="n"/>
      <c r="I265" s="12" t="n"/>
    </row>
    <row r="266">
      <c r="A266" s="38" t="n"/>
      <c r="B266" s="12" t="n"/>
      <c r="C266" s="12" t="n"/>
      <c r="D266" s="12" t="n"/>
      <c r="E266" s="27" t="n"/>
      <c r="F266" s="27" t="n"/>
      <c r="G266" s="28">
        <f>IF(E266="","",E266-N(F266))</f>
        <v/>
      </c>
      <c r="H266" s="12" t="n"/>
      <c r="I266" s="12" t="n"/>
    </row>
    <row r="267">
      <c r="A267" s="38" t="n"/>
      <c r="B267" s="12" t="n"/>
      <c r="C267" s="12" t="n"/>
      <c r="D267" s="12" t="n"/>
      <c r="E267" s="27" t="n"/>
      <c r="F267" s="27" t="n"/>
      <c r="G267" s="28">
        <f>IF(E267="","",E267-N(F267))</f>
        <v/>
      </c>
      <c r="H267" s="12" t="n"/>
      <c r="I267" s="12" t="n"/>
    </row>
    <row r="268">
      <c r="A268" s="38" t="n"/>
      <c r="B268" s="12" t="n"/>
      <c r="C268" s="12" t="n"/>
      <c r="D268" s="12" t="n"/>
      <c r="E268" s="27" t="n"/>
      <c r="F268" s="27" t="n"/>
      <c r="G268" s="28">
        <f>IF(E268="","",E268-N(F268))</f>
        <v/>
      </c>
      <c r="H268" s="12" t="n"/>
      <c r="I268" s="12" t="n"/>
    </row>
    <row r="269">
      <c r="A269" s="38" t="n"/>
      <c r="B269" s="12" t="n"/>
      <c r="C269" s="12" t="n"/>
      <c r="D269" s="12" t="n"/>
      <c r="E269" s="27" t="n"/>
      <c r="F269" s="27" t="n"/>
      <c r="G269" s="28">
        <f>IF(E269="","",E269-N(F269))</f>
        <v/>
      </c>
      <c r="H269" s="12" t="n"/>
      <c r="I269" s="12" t="n"/>
    </row>
    <row r="270">
      <c r="A270" s="38" t="n"/>
      <c r="B270" s="12" t="n"/>
      <c r="C270" s="12" t="n"/>
      <c r="D270" s="12" t="n"/>
      <c r="E270" s="27" t="n"/>
      <c r="F270" s="27" t="n"/>
      <c r="G270" s="28">
        <f>IF(E270="","",E270-N(F270))</f>
        <v/>
      </c>
      <c r="H270" s="12" t="n"/>
      <c r="I270" s="12" t="n"/>
    </row>
    <row r="271">
      <c r="A271" s="38" t="n"/>
      <c r="B271" s="12" t="n"/>
      <c r="C271" s="12" t="n"/>
      <c r="D271" s="12" t="n"/>
      <c r="E271" s="27" t="n"/>
      <c r="F271" s="27" t="n"/>
      <c r="G271" s="28">
        <f>IF(E271="","",E271-N(F271))</f>
        <v/>
      </c>
      <c r="H271" s="12" t="n"/>
      <c r="I271" s="12" t="n"/>
    </row>
    <row r="272">
      <c r="A272" s="38" t="n"/>
      <c r="B272" s="12" t="n"/>
      <c r="C272" s="12" t="n"/>
      <c r="D272" s="12" t="n"/>
      <c r="E272" s="27" t="n"/>
      <c r="F272" s="27" t="n"/>
      <c r="G272" s="28">
        <f>IF(E272="","",E272-N(F272))</f>
        <v/>
      </c>
      <c r="H272" s="12" t="n"/>
      <c r="I272" s="12" t="n"/>
    </row>
    <row r="273">
      <c r="A273" s="38" t="n"/>
      <c r="B273" s="12" t="n"/>
      <c r="C273" s="12" t="n"/>
      <c r="D273" s="12" t="n"/>
      <c r="E273" s="27" t="n"/>
      <c r="F273" s="27" t="n"/>
      <c r="G273" s="28">
        <f>IF(E273="","",E273-N(F273))</f>
        <v/>
      </c>
      <c r="H273" s="12" t="n"/>
      <c r="I273" s="12" t="n"/>
    </row>
    <row r="274">
      <c r="A274" s="38" t="n"/>
      <c r="B274" s="12" t="n"/>
      <c r="C274" s="12" t="n"/>
      <c r="D274" s="12" t="n"/>
      <c r="E274" s="27" t="n"/>
      <c r="F274" s="27" t="n"/>
      <c r="G274" s="28">
        <f>IF(E274="","",E274-N(F274))</f>
        <v/>
      </c>
      <c r="H274" s="12" t="n"/>
      <c r="I274" s="12" t="n"/>
    </row>
    <row r="275">
      <c r="A275" s="38" t="n"/>
      <c r="B275" s="12" t="n"/>
      <c r="C275" s="12" t="n"/>
      <c r="D275" s="12" t="n"/>
      <c r="E275" s="27" t="n"/>
      <c r="F275" s="27" t="n"/>
      <c r="G275" s="28">
        <f>IF(E275="","",E275-N(F275))</f>
        <v/>
      </c>
      <c r="H275" s="12" t="n"/>
      <c r="I275" s="12" t="n"/>
    </row>
    <row r="276">
      <c r="A276" s="38" t="n"/>
      <c r="B276" s="12" t="n"/>
      <c r="C276" s="12" t="n"/>
      <c r="D276" s="12" t="n"/>
      <c r="E276" s="27" t="n"/>
      <c r="F276" s="27" t="n"/>
      <c r="G276" s="28">
        <f>IF(E276="","",E276-N(F276))</f>
        <v/>
      </c>
      <c r="H276" s="12" t="n"/>
      <c r="I276" s="12" t="n"/>
    </row>
    <row r="277">
      <c r="A277" s="38" t="n"/>
      <c r="B277" s="12" t="n"/>
      <c r="C277" s="12" t="n"/>
      <c r="D277" s="12" t="n"/>
      <c r="E277" s="27" t="n"/>
      <c r="F277" s="27" t="n"/>
      <c r="G277" s="28">
        <f>IF(E277="","",E277-N(F277))</f>
        <v/>
      </c>
      <c r="H277" s="12" t="n"/>
      <c r="I277" s="12" t="n"/>
    </row>
    <row r="278">
      <c r="A278" s="38" t="n"/>
      <c r="B278" s="12" t="n"/>
      <c r="C278" s="12" t="n"/>
      <c r="D278" s="12" t="n"/>
      <c r="E278" s="27" t="n"/>
      <c r="F278" s="27" t="n"/>
      <c r="G278" s="28">
        <f>IF(E278="","",E278-N(F278))</f>
        <v/>
      </c>
      <c r="H278" s="12" t="n"/>
      <c r="I278" s="12" t="n"/>
    </row>
    <row r="279">
      <c r="A279" s="38" t="n"/>
      <c r="B279" s="12" t="n"/>
      <c r="C279" s="12" t="n"/>
      <c r="D279" s="12" t="n"/>
      <c r="E279" s="27" t="n"/>
      <c r="F279" s="27" t="n"/>
      <c r="G279" s="28">
        <f>IF(E279="","",E279-N(F279))</f>
        <v/>
      </c>
      <c r="H279" s="12" t="n"/>
      <c r="I279" s="12" t="n"/>
    </row>
    <row r="280">
      <c r="A280" s="38" t="n"/>
      <c r="B280" s="12" t="n"/>
      <c r="C280" s="12" t="n"/>
      <c r="D280" s="12" t="n"/>
      <c r="E280" s="27" t="n"/>
      <c r="F280" s="27" t="n"/>
      <c r="G280" s="28">
        <f>IF(E280="","",E280-N(F280))</f>
        <v/>
      </c>
      <c r="H280" s="12" t="n"/>
      <c r="I280" s="12" t="n"/>
    </row>
    <row r="281">
      <c r="A281" s="38" t="n"/>
      <c r="B281" s="12" t="n"/>
      <c r="C281" s="12" t="n"/>
      <c r="D281" s="12" t="n"/>
      <c r="E281" s="27" t="n"/>
      <c r="F281" s="27" t="n"/>
      <c r="G281" s="28">
        <f>IF(E281="","",E281-N(F281))</f>
        <v/>
      </c>
      <c r="H281" s="12" t="n"/>
      <c r="I281" s="12" t="n"/>
    </row>
    <row r="282">
      <c r="A282" s="38" t="n"/>
      <c r="B282" s="12" t="n"/>
      <c r="C282" s="12" t="n"/>
      <c r="D282" s="12" t="n"/>
      <c r="E282" s="27" t="n"/>
      <c r="F282" s="27" t="n"/>
      <c r="G282" s="28">
        <f>IF(E282="","",E282-N(F282))</f>
        <v/>
      </c>
      <c r="H282" s="12" t="n"/>
      <c r="I282" s="12" t="n"/>
    </row>
    <row r="283">
      <c r="A283" s="38" t="n"/>
      <c r="B283" s="12" t="n"/>
      <c r="C283" s="12" t="n"/>
      <c r="D283" s="12" t="n"/>
      <c r="E283" s="27" t="n"/>
      <c r="F283" s="27" t="n"/>
      <c r="G283" s="28">
        <f>IF(E283="","",E283-N(F283))</f>
        <v/>
      </c>
      <c r="H283" s="12" t="n"/>
      <c r="I283" s="12" t="n"/>
    </row>
    <row r="284">
      <c r="A284" s="38" t="n"/>
      <c r="B284" s="12" t="n"/>
      <c r="C284" s="12" t="n"/>
      <c r="D284" s="12" t="n"/>
      <c r="E284" s="27" t="n"/>
      <c r="F284" s="27" t="n"/>
      <c r="G284" s="28">
        <f>IF(E284="","",E284-N(F284))</f>
        <v/>
      </c>
      <c r="H284" s="12" t="n"/>
      <c r="I284" s="12" t="n"/>
    </row>
    <row r="285">
      <c r="A285" s="38" t="n"/>
      <c r="B285" s="12" t="n"/>
      <c r="C285" s="12" t="n"/>
      <c r="D285" s="12" t="n"/>
      <c r="E285" s="27" t="n"/>
      <c r="F285" s="27" t="n"/>
      <c r="G285" s="28">
        <f>IF(E285="","",E285-N(F285))</f>
        <v/>
      </c>
      <c r="H285" s="12" t="n"/>
      <c r="I285" s="12" t="n"/>
    </row>
    <row r="286">
      <c r="A286" s="38" t="n"/>
      <c r="B286" s="12" t="n"/>
      <c r="C286" s="12" t="n"/>
      <c r="D286" s="12" t="n"/>
      <c r="E286" s="27" t="n"/>
      <c r="F286" s="27" t="n"/>
      <c r="G286" s="28">
        <f>IF(E286="","",E286-N(F286))</f>
        <v/>
      </c>
      <c r="H286" s="12" t="n"/>
      <c r="I286" s="12" t="n"/>
    </row>
    <row r="287">
      <c r="A287" s="38" t="n"/>
      <c r="B287" s="12" t="n"/>
      <c r="C287" s="12" t="n"/>
      <c r="D287" s="12" t="n"/>
      <c r="E287" s="27" t="n"/>
      <c r="F287" s="27" t="n"/>
      <c r="G287" s="28">
        <f>IF(E287="","",E287-N(F287))</f>
        <v/>
      </c>
      <c r="H287" s="12" t="n"/>
      <c r="I287" s="12" t="n"/>
    </row>
    <row r="288">
      <c r="A288" s="38" t="n"/>
      <c r="B288" s="12" t="n"/>
      <c r="C288" s="12" t="n"/>
      <c r="D288" s="12" t="n"/>
      <c r="E288" s="27" t="n"/>
      <c r="F288" s="27" t="n"/>
      <c r="G288" s="28">
        <f>IF(E288="","",E288-N(F288))</f>
        <v/>
      </c>
      <c r="H288" s="12" t="n"/>
      <c r="I288" s="12" t="n"/>
    </row>
    <row r="289">
      <c r="A289" s="38" t="n"/>
      <c r="B289" s="12" t="n"/>
      <c r="C289" s="12" t="n"/>
      <c r="D289" s="12" t="n"/>
      <c r="E289" s="27" t="n"/>
      <c r="F289" s="27" t="n"/>
      <c r="G289" s="28">
        <f>IF(E289="","",E289-N(F289))</f>
        <v/>
      </c>
      <c r="H289" s="12" t="n"/>
      <c r="I289" s="12" t="n"/>
    </row>
    <row r="290">
      <c r="A290" s="38" t="n"/>
      <c r="B290" s="12" t="n"/>
      <c r="C290" s="12" t="n"/>
      <c r="D290" s="12" t="n"/>
      <c r="E290" s="27" t="n"/>
      <c r="F290" s="27" t="n"/>
      <c r="G290" s="28">
        <f>IF(E290="","",E290-N(F290))</f>
        <v/>
      </c>
      <c r="H290" s="12" t="n"/>
      <c r="I290" s="12" t="n"/>
    </row>
    <row r="291">
      <c r="A291" s="38" t="n"/>
      <c r="B291" s="12" t="n"/>
      <c r="C291" s="12" t="n"/>
      <c r="D291" s="12" t="n"/>
      <c r="E291" s="27" t="n"/>
      <c r="F291" s="27" t="n"/>
      <c r="G291" s="28">
        <f>IF(E291="","",E291-N(F291))</f>
        <v/>
      </c>
      <c r="H291" s="12" t="n"/>
      <c r="I291" s="12" t="n"/>
    </row>
    <row r="292">
      <c r="A292" s="38" t="n"/>
      <c r="B292" s="12" t="n"/>
      <c r="C292" s="12" t="n"/>
      <c r="D292" s="12" t="n"/>
      <c r="E292" s="27" t="n"/>
      <c r="F292" s="27" t="n"/>
      <c r="G292" s="28">
        <f>IF(E292="","",E292-N(F292))</f>
        <v/>
      </c>
      <c r="H292" s="12" t="n"/>
      <c r="I292" s="12" t="n"/>
    </row>
    <row r="293">
      <c r="A293" s="38" t="n"/>
      <c r="B293" s="12" t="n"/>
      <c r="C293" s="12" t="n"/>
      <c r="D293" s="12" t="n"/>
      <c r="E293" s="27" t="n"/>
      <c r="F293" s="27" t="n"/>
      <c r="G293" s="28">
        <f>IF(E293="","",E293-N(F293))</f>
        <v/>
      </c>
      <c r="H293" s="12" t="n"/>
      <c r="I293" s="12" t="n"/>
    </row>
    <row r="294">
      <c r="A294" s="38" t="n"/>
      <c r="B294" s="12" t="n"/>
      <c r="C294" s="12" t="n"/>
      <c r="D294" s="12" t="n"/>
      <c r="E294" s="27" t="n"/>
      <c r="F294" s="27" t="n"/>
      <c r="G294" s="28">
        <f>IF(E294="","",E294-N(F294))</f>
        <v/>
      </c>
      <c r="H294" s="12" t="n"/>
      <c r="I294" s="12" t="n"/>
    </row>
    <row r="295">
      <c r="A295" s="38" t="n"/>
      <c r="B295" s="12" t="n"/>
      <c r="C295" s="12" t="n"/>
      <c r="D295" s="12" t="n"/>
      <c r="E295" s="27" t="n"/>
      <c r="F295" s="27" t="n"/>
      <c r="G295" s="28">
        <f>IF(E295="","",E295-N(F295))</f>
        <v/>
      </c>
      <c r="H295" s="12" t="n"/>
      <c r="I295" s="12" t="n"/>
    </row>
    <row r="296">
      <c r="A296" s="38" t="n"/>
      <c r="B296" s="12" t="n"/>
      <c r="C296" s="12" t="n"/>
      <c r="D296" s="12" t="n"/>
      <c r="E296" s="27" t="n"/>
      <c r="F296" s="27" t="n"/>
      <c r="G296" s="28">
        <f>IF(E296="","",E296-N(F296))</f>
        <v/>
      </c>
      <c r="H296" s="12" t="n"/>
      <c r="I296" s="12" t="n"/>
    </row>
    <row r="297">
      <c r="A297" s="38" t="n"/>
      <c r="B297" s="12" t="n"/>
      <c r="C297" s="12" t="n"/>
      <c r="D297" s="12" t="n"/>
      <c r="E297" s="27" t="n"/>
      <c r="F297" s="27" t="n"/>
      <c r="G297" s="28">
        <f>IF(E297="","",E297-N(F297))</f>
        <v/>
      </c>
      <c r="H297" s="12" t="n"/>
      <c r="I297" s="12" t="n"/>
    </row>
    <row r="298">
      <c r="A298" s="38" t="n"/>
      <c r="B298" s="12" t="n"/>
      <c r="C298" s="12" t="n"/>
      <c r="D298" s="12" t="n"/>
      <c r="E298" s="27" t="n"/>
      <c r="F298" s="27" t="n"/>
      <c r="G298" s="28">
        <f>IF(E298="","",E298-N(F298))</f>
        <v/>
      </c>
      <c r="H298" s="12" t="n"/>
      <c r="I298" s="12" t="n"/>
    </row>
    <row r="299">
      <c r="A299" s="38" t="n"/>
      <c r="B299" s="12" t="n"/>
      <c r="C299" s="12" t="n"/>
      <c r="D299" s="12" t="n"/>
      <c r="E299" s="27" t="n"/>
      <c r="F299" s="27" t="n"/>
      <c r="G299" s="28">
        <f>IF(E299="","",E299-N(F299))</f>
        <v/>
      </c>
      <c r="H299" s="12" t="n"/>
      <c r="I299" s="12" t="n"/>
    </row>
    <row r="300">
      <c r="A300" s="38" t="n"/>
      <c r="B300" s="12" t="n"/>
      <c r="C300" s="12" t="n"/>
      <c r="D300" s="12" t="n"/>
      <c r="E300" s="27" t="n"/>
      <c r="F300" s="27" t="n"/>
      <c r="G300" s="28">
        <f>IF(E300="","",E300-N(F300))</f>
        <v/>
      </c>
      <c r="H300" s="12" t="n"/>
      <c r="I300" s="12" t="n"/>
    </row>
    <row r="301">
      <c r="A301" s="38" t="n"/>
      <c r="B301" s="12" t="n"/>
      <c r="C301" s="12" t="n"/>
      <c r="D301" s="12" t="n"/>
      <c r="E301" s="27" t="n"/>
      <c r="F301" s="27" t="n"/>
      <c r="G301" s="28">
        <f>IF(E301="","",E301-N(F301))</f>
        <v/>
      </c>
      <c r="H301" s="12" t="n"/>
      <c r="I301" s="12" t="n"/>
    </row>
    <row r="302">
      <c r="A302" s="38" t="n"/>
      <c r="B302" s="12" t="n"/>
      <c r="C302" s="12" t="n"/>
      <c r="D302" s="12" t="n"/>
      <c r="E302" s="27" t="n"/>
      <c r="F302" s="27" t="n"/>
      <c r="G302" s="28">
        <f>IF(E302="","",E302-N(F302))</f>
        <v/>
      </c>
      <c r="H302" s="12" t="n"/>
      <c r="I302" s="12" t="n"/>
    </row>
    <row r="303">
      <c r="A303" s="38" t="n"/>
      <c r="B303" s="12" t="n"/>
      <c r="C303" s="12" t="n"/>
      <c r="D303" s="12" t="n"/>
      <c r="E303" s="27" t="n"/>
      <c r="F303" s="27" t="n"/>
      <c r="G303" s="28">
        <f>IF(E303="","",E303-N(F303))</f>
        <v/>
      </c>
      <c r="H303" s="12" t="n"/>
      <c r="I303" s="12" t="n"/>
    </row>
    <row r="304">
      <c r="A304" s="38" t="n"/>
      <c r="B304" s="12" t="n"/>
      <c r="C304" s="12" t="n"/>
      <c r="D304" s="12" t="n"/>
      <c r="E304" s="27" t="n"/>
      <c r="F304" s="27" t="n"/>
      <c r="G304" s="28">
        <f>IF(E304="","",E304-N(F304))</f>
        <v/>
      </c>
      <c r="H304" s="12" t="n"/>
      <c r="I304" s="12" t="n"/>
    </row>
    <row r="305">
      <c r="A305" s="38" t="n"/>
      <c r="B305" s="12" t="n"/>
      <c r="C305" s="12" t="n"/>
      <c r="D305" s="12" t="n"/>
      <c r="E305" s="27" t="n"/>
      <c r="F305" s="27" t="n"/>
      <c r="G305" s="28">
        <f>IF(E305="","",E305-N(F305))</f>
        <v/>
      </c>
      <c r="H305" s="12" t="n"/>
      <c r="I305" s="12" t="n"/>
    </row>
    <row r="306">
      <c r="A306" s="38" t="n"/>
      <c r="B306" s="12" t="n"/>
      <c r="C306" s="12" t="n"/>
      <c r="D306" s="12" t="n"/>
      <c r="E306" s="27" t="n"/>
      <c r="F306" s="27" t="n"/>
      <c r="G306" s="28">
        <f>IF(E306="","",E306-N(F306))</f>
        <v/>
      </c>
      <c r="H306" s="12" t="n"/>
      <c r="I306" s="12" t="n"/>
    </row>
    <row r="307">
      <c r="A307" s="38" t="n"/>
      <c r="B307" s="12" t="n"/>
      <c r="C307" s="12" t="n"/>
      <c r="D307" s="12" t="n"/>
      <c r="E307" s="27" t="n"/>
      <c r="F307" s="27" t="n"/>
      <c r="G307" s="28">
        <f>IF(E307="","",E307-N(F307))</f>
        <v/>
      </c>
      <c r="H307" s="12" t="n"/>
      <c r="I307" s="12" t="n"/>
    </row>
    <row r="308">
      <c r="A308" s="38" t="n"/>
      <c r="B308" s="12" t="n"/>
      <c r="C308" s="12" t="n"/>
      <c r="D308" s="12" t="n"/>
      <c r="E308" s="27" t="n"/>
      <c r="F308" s="27" t="n"/>
      <c r="G308" s="28">
        <f>IF(E308="","",E308-N(F308))</f>
        <v/>
      </c>
      <c r="H308" s="12" t="n"/>
      <c r="I308" s="12" t="n"/>
    </row>
    <row r="309">
      <c r="A309" s="38" t="n"/>
      <c r="B309" s="12" t="n"/>
      <c r="C309" s="12" t="n"/>
      <c r="D309" s="12" t="n"/>
      <c r="E309" s="27" t="n"/>
      <c r="F309" s="27" t="n"/>
      <c r="G309" s="28">
        <f>IF(E309="","",E309-N(F309))</f>
        <v/>
      </c>
      <c r="H309" s="12" t="n"/>
      <c r="I309" s="12" t="n"/>
    </row>
    <row r="310">
      <c r="A310" s="38" t="n"/>
      <c r="B310" s="12" t="n"/>
      <c r="C310" s="12" t="n"/>
      <c r="D310" s="12" t="n"/>
      <c r="E310" s="27" t="n"/>
      <c r="F310" s="27" t="n"/>
      <c r="G310" s="28">
        <f>IF(E310="","",E310-N(F310))</f>
        <v/>
      </c>
      <c r="H310" s="12" t="n"/>
      <c r="I310" s="12" t="n"/>
    </row>
    <row r="311">
      <c r="A311" s="38" t="n"/>
      <c r="B311" s="12" t="n"/>
      <c r="C311" s="12" t="n"/>
      <c r="D311" s="12" t="n"/>
      <c r="E311" s="27" t="n"/>
      <c r="F311" s="27" t="n"/>
      <c r="G311" s="28">
        <f>IF(E311="","",E311-N(F311))</f>
        <v/>
      </c>
      <c r="H311" s="12" t="n"/>
      <c r="I311" s="12" t="n"/>
    </row>
    <row r="312">
      <c r="A312" s="38" t="n"/>
      <c r="B312" s="12" t="n"/>
      <c r="C312" s="12" t="n"/>
      <c r="D312" s="12" t="n"/>
      <c r="E312" s="27" t="n"/>
      <c r="F312" s="27" t="n"/>
      <c r="G312" s="28">
        <f>IF(E312="","",E312-N(F312))</f>
        <v/>
      </c>
      <c r="H312" s="12" t="n"/>
      <c r="I312" s="12" t="n"/>
    </row>
    <row r="313">
      <c r="A313" s="38" t="n"/>
      <c r="B313" s="12" t="n"/>
      <c r="C313" s="12" t="n"/>
      <c r="D313" s="12" t="n"/>
      <c r="E313" s="27" t="n"/>
      <c r="F313" s="27" t="n"/>
      <c r="G313" s="28">
        <f>IF(E313="","",E313-N(F313))</f>
        <v/>
      </c>
      <c r="H313" s="12" t="n"/>
      <c r="I313" s="12" t="n"/>
    </row>
    <row r="314">
      <c r="A314" s="32" t="n"/>
      <c r="B314" s="32" t="inlineStr">
        <is>
          <t>TOTAL RAISED</t>
        </is>
      </c>
      <c r="C314" s="32" t="n"/>
      <c r="D314" s="32" t="n"/>
      <c r="E314" s="34">
        <f>SUM(E14:E313)</f>
        <v/>
      </c>
      <c r="F314" s="34">
        <f>SUM(F14:F313)</f>
        <v/>
      </c>
      <c r="G314" s="34">
        <f>SUM(G14:G313)</f>
        <v/>
      </c>
      <c r="H314" s="32" t="n"/>
      <c r="I314" s="32" t="n"/>
    </row>
  </sheetData>
  <mergeCells count="2">
    <mergeCell ref="A1:I1"/>
    <mergeCell ref="A2:I2"/>
  </mergeCells>
  <conditionalFormatting sqref="A14:F313">
    <cfRule type="expression" priority="1" dxfId="2">
      <formula>MOD(ROW(),2)=0</formula>
    </cfRule>
  </conditionalFormatting>
  <conditionalFormatting sqref="H14:I313">
    <cfRule type="expression" priority="2" dxfId="2">
      <formula>MOD(ROW(),2)=0</formula>
    </cfRule>
  </conditionalFormatting>
  <conditionalFormatting sqref="H14:H313">
    <cfRule type="cellIs" priority="3" operator="equal" dxfId="5">
      <formula>"Yes"</formula>
    </cfRule>
    <cfRule type="cellIs" priority="4" operator="equal" dxfId="6">
      <formula>"No"</formula>
    </cfRule>
    <cfRule type="cellIs" priority="5" operator="equal" dxfId="4">
      <formula>"Pending"</formula>
    </cfRule>
  </conditionalFormatting>
  <dataValidations count="2">
    <dataValidation sqref="B14:B313" showDropDown="0" showInputMessage="0" showErrorMessage="1" allowBlank="1" type="list">
      <formula1>"Kickstarter Pledge,Donation,Personal Money In,Friends &amp; Family,Grant,Loan,Other"</formula1>
    </dataValidation>
    <dataValidation sqref="H14:H313" showDropDown="0" showInputMessage="0" showErrorMessage="1" allowBlank="1" type="list">
      <formula1>"Yes,No,Pending"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7B3C"/>
    <outlinePr summaryBelow="1" summaryRight="1"/>
    <pageSetUpPr/>
  </sheetPr>
  <dimension ref="A1:L31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32" customWidth="1" min="4" max="4"/>
    <col width="7" customWidth="1" min="5" max="5"/>
    <col width="12" customWidth="1" min="6" max="6"/>
    <col width="13" customWidth="1" min="7" max="7"/>
    <col width="12" customWidth="1" min="8" max="8"/>
    <col width="11" customWidth="1" min="9" max="9"/>
    <col width="13" customWidth="1" min="10" max="10"/>
    <col width="12" customWidth="1" min="11" max="11"/>
    <col width="14" customWidth="1" min="12" max="12"/>
  </cols>
  <sheetData>
    <row r="1" ht="26" customHeight="1">
      <c r="A1" s="1" t="inlineStr">
        <is>
          <t>Sales Log — Revenue from Every Sale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6" customHeight="1">
      <c r="A2" s="3" t="inlineStr">
        <is>
          <t>One row per product per order. This is the money BOYNT earns — the Dashboard and COGS tabs read from here.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 ht="14" customHeight="1">
      <c r="A4" s="15" t="inlineStr">
        <is>
          <t>WHAT THIS TAB IS FOR:  recording the money side of every sale. (The shipping/fulfillment side lives on the Orders tab.)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14" customHeight="1">
      <c r="A5" s="16" t="inlineStr">
        <is>
          <t>WHAT GOES HERE:  Date, an Order # you make up (0001, 0002...), the Channel it sold through, the Product (dropdown),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14" customHeight="1">
      <c r="A6" s="16" t="inlineStr">
        <is>
          <t>and Qty. Unit Price fills in from your price list automatically — type over it if you gave a special price.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14" customHeight="1">
      <c r="A7" s="16" t="inlineStr">
        <is>
          <t>Then add Shipping Collected, any Discount, and Processing Fees (Stripe/PayPal/Kickstarter take ~3-5%).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14" customHeight="1">
      <c r="A8" s="16" t="inlineStr">
        <is>
          <t>MULTI-ITEM ORDERS:  one row PER PRODUCT, repeating the same Order #.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14" customHeight="1">
      <c r="A9" s="16" t="inlineStr">
        <is>
          <t>KICKSTARTER REWARDS:  when you ship a backer their pair, log it here as Channel = Kickstarter with price $0 if the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14" customHeight="1">
      <c r="A10" s="16" t="inlineStr">
        <is>
          <t>pledge was already counted on the Funding tab — otherwise you'd count the same money twice.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4" customHeight="1">
      <c r="A11" s="16" t="inlineStr">
        <is>
          <t>AUTOMATIC (blue):  Product Total, Order Total, and NET REVENUE calculate themselves. Every sale should also get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14" customHeight="1">
      <c r="A12" s="16" t="inlineStr">
        <is>
          <t>a matching row on the Orders tab (same Order #) so you can track fulfillment.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28" customHeight="1">
      <c r="A13" s="26" t="inlineStr">
        <is>
          <t>Date</t>
        </is>
      </c>
      <c r="B13" s="26" t="inlineStr">
        <is>
          <t>Order #</t>
        </is>
      </c>
      <c r="C13" s="26" t="inlineStr">
        <is>
          <t>Channel</t>
        </is>
      </c>
      <c r="D13" s="26" t="inlineStr">
        <is>
          <t>Product</t>
        </is>
      </c>
      <c r="E13" s="26" t="inlineStr">
        <is>
          <t>Qty</t>
        </is>
      </c>
      <c r="F13" s="26" t="inlineStr">
        <is>
          <t>Unit Price (auto)</t>
        </is>
      </c>
      <c r="G13" s="26" t="inlineStr">
        <is>
          <t>Product Total (auto)</t>
        </is>
      </c>
      <c r="H13" s="26" t="inlineStr">
        <is>
          <t>Shipping Collected</t>
        </is>
      </c>
      <c r="I13" s="26" t="inlineStr">
        <is>
          <t>Discount</t>
        </is>
      </c>
      <c r="J13" s="26" t="inlineStr">
        <is>
          <t>Order Total (auto)</t>
        </is>
      </c>
      <c r="K13" s="26" t="inlineStr">
        <is>
          <t>Processing Fees</t>
        </is>
      </c>
      <c r="L13" s="26" t="inlineStr">
        <is>
          <t>NET REVENUE (auto)</t>
        </is>
      </c>
    </row>
    <row r="14">
      <c r="A14" s="38" t="n"/>
      <c r="B14" s="12" t="n"/>
      <c r="C14" s="12" t="n"/>
      <c r="D14" s="12" t="n"/>
      <c r="E14" s="43" t="n"/>
      <c r="F14" s="28">
        <f>IF($D14="","",IFERROR(VLOOKUP($D14,'Products &amp; Pricing'!$A$14:$D$28,4,FALSE),""))</f>
        <v/>
      </c>
      <c r="G14" s="28">
        <f>IF($D14="","",N(E14)*N(F14))</f>
        <v/>
      </c>
      <c r="H14" s="27" t="n"/>
      <c r="I14" s="27" t="n"/>
      <c r="J14" s="28">
        <f>IF($D14="","",N(G14)+N(H14)-N(I14))</f>
        <v/>
      </c>
      <c r="K14" s="27" t="n"/>
      <c r="L14" s="28">
        <f>IF($D14="","",N(J14)-N(K14))</f>
        <v/>
      </c>
    </row>
    <row r="15">
      <c r="A15" s="38" t="n"/>
      <c r="B15" s="12" t="n"/>
      <c r="C15" s="12" t="n"/>
      <c r="D15" s="12" t="n"/>
      <c r="E15" s="43" t="n"/>
      <c r="F15" s="28">
        <f>IF($D15="","",IFERROR(VLOOKUP($D15,'Products &amp; Pricing'!$A$14:$D$28,4,FALSE),""))</f>
        <v/>
      </c>
      <c r="G15" s="28">
        <f>IF($D15="","",N(E15)*N(F15))</f>
        <v/>
      </c>
      <c r="H15" s="27" t="n"/>
      <c r="I15" s="27" t="n"/>
      <c r="J15" s="28">
        <f>IF($D15="","",N(G15)+N(H15)-N(I15))</f>
        <v/>
      </c>
      <c r="K15" s="27" t="n"/>
      <c r="L15" s="28">
        <f>IF($D15="","",N(J15)-N(K15))</f>
        <v/>
      </c>
    </row>
    <row r="16">
      <c r="A16" s="38" t="n"/>
      <c r="B16" s="12" t="n"/>
      <c r="C16" s="12" t="n"/>
      <c r="D16" s="12" t="n"/>
      <c r="E16" s="43" t="n"/>
      <c r="F16" s="28">
        <f>IF($D16="","",IFERROR(VLOOKUP($D16,'Products &amp; Pricing'!$A$14:$D$28,4,FALSE),""))</f>
        <v/>
      </c>
      <c r="G16" s="28">
        <f>IF($D16="","",N(E16)*N(F16))</f>
        <v/>
      </c>
      <c r="H16" s="27" t="n"/>
      <c r="I16" s="27" t="n"/>
      <c r="J16" s="28">
        <f>IF($D16="","",N(G16)+N(H16)-N(I16))</f>
        <v/>
      </c>
      <c r="K16" s="27" t="n"/>
      <c r="L16" s="28">
        <f>IF($D16="","",N(J16)-N(K16))</f>
        <v/>
      </c>
    </row>
    <row r="17">
      <c r="A17" s="38" t="n"/>
      <c r="B17" s="12" t="n"/>
      <c r="C17" s="12" t="n"/>
      <c r="D17" s="12" t="n"/>
      <c r="E17" s="43" t="n"/>
      <c r="F17" s="28">
        <f>IF($D17="","",IFERROR(VLOOKUP($D17,'Products &amp; Pricing'!$A$14:$D$28,4,FALSE),""))</f>
        <v/>
      </c>
      <c r="G17" s="28">
        <f>IF($D17="","",N(E17)*N(F17))</f>
        <v/>
      </c>
      <c r="H17" s="27" t="n"/>
      <c r="I17" s="27" t="n"/>
      <c r="J17" s="28">
        <f>IF($D17="","",N(G17)+N(H17)-N(I17))</f>
        <v/>
      </c>
      <c r="K17" s="27" t="n"/>
      <c r="L17" s="28">
        <f>IF($D17="","",N(J17)-N(K17))</f>
        <v/>
      </c>
    </row>
    <row r="18">
      <c r="A18" s="38" t="n"/>
      <c r="B18" s="12" t="n"/>
      <c r="C18" s="12" t="n"/>
      <c r="D18" s="12" t="n"/>
      <c r="E18" s="43" t="n"/>
      <c r="F18" s="28">
        <f>IF($D18="","",IFERROR(VLOOKUP($D18,'Products &amp; Pricing'!$A$14:$D$28,4,FALSE),""))</f>
        <v/>
      </c>
      <c r="G18" s="28">
        <f>IF($D18="","",N(E18)*N(F18))</f>
        <v/>
      </c>
      <c r="H18" s="27" t="n"/>
      <c r="I18" s="27" t="n"/>
      <c r="J18" s="28">
        <f>IF($D18="","",N(G18)+N(H18)-N(I18))</f>
        <v/>
      </c>
      <c r="K18" s="27" t="n"/>
      <c r="L18" s="28">
        <f>IF($D18="","",N(J18)-N(K18))</f>
        <v/>
      </c>
    </row>
    <row r="19">
      <c r="A19" s="38" t="n"/>
      <c r="B19" s="12" t="n"/>
      <c r="C19" s="12" t="n"/>
      <c r="D19" s="12" t="n"/>
      <c r="E19" s="43" t="n"/>
      <c r="F19" s="28">
        <f>IF($D19="","",IFERROR(VLOOKUP($D19,'Products &amp; Pricing'!$A$14:$D$28,4,FALSE),""))</f>
        <v/>
      </c>
      <c r="G19" s="28">
        <f>IF($D19="","",N(E19)*N(F19))</f>
        <v/>
      </c>
      <c r="H19" s="27" t="n"/>
      <c r="I19" s="27" t="n"/>
      <c r="J19" s="28">
        <f>IF($D19="","",N(G19)+N(H19)-N(I19))</f>
        <v/>
      </c>
      <c r="K19" s="27" t="n"/>
      <c r="L19" s="28">
        <f>IF($D19="","",N(J19)-N(K19))</f>
        <v/>
      </c>
    </row>
    <row r="20">
      <c r="A20" s="38" t="n"/>
      <c r="B20" s="12" t="n"/>
      <c r="C20" s="12" t="n"/>
      <c r="D20" s="12" t="n"/>
      <c r="E20" s="43" t="n"/>
      <c r="F20" s="28">
        <f>IF($D20="","",IFERROR(VLOOKUP($D20,'Products &amp; Pricing'!$A$14:$D$28,4,FALSE),""))</f>
        <v/>
      </c>
      <c r="G20" s="28">
        <f>IF($D20="","",N(E20)*N(F20))</f>
        <v/>
      </c>
      <c r="H20" s="27" t="n"/>
      <c r="I20" s="27" t="n"/>
      <c r="J20" s="28">
        <f>IF($D20="","",N(G20)+N(H20)-N(I20))</f>
        <v/>
      </c>
      <c r="K20" s="27" t="n"/>
      <c r="L20" s="28">
        <f>IF($D20="","",N(J20)-N(K20))</f>
        <v/>
      </c>
    </row>
    <row r="21">
      <c r="A21" s="38" t="n"/>
      <c r="B21" s="12" t="n"/>
      <c r="C21" s="12" t="n"/>
      <c r="D21" s="12" t="n"/>
      <c r="E21" s="43" t="n"/>
      <c r="F21" s="28">
        <f>IF($D21="","",IFERROR(VLOOKUP($D21,'Products &amp; Pricing'!$A$14:$D$28,4,FALSE),""))</f>
        <v/>
      </c>
      <c r="G21" s="28">
        <f>IF($D21="","",N(E21)*N(F21))</f>
        <v/>
      </c>
      <c r="H21" s="27" t="n"/>
      <c r="I21" s="27" t="n"/>
      <c r="J21" s="28">
        <f>IF($D21="","",N(G21)+N(H21)-N(I21))</f>
        <v/>
      </c>
      <c r="K21" s="27" t="n"/>
      <c r="L21" s="28">
        <f>IF($D21="","",N(J21)-N(K21))</f>
        <v/>
      </c>
    </row>
    <row r="22">
      <c r="A22" s="38" t="n"/>
      <c r="B22" s="12" t="n"/>
      <c r="C22" s="12" t="n"/>
      <c r="D22" s="12" t="n"/>
      <c r="E22" s="43" t="n"/>
      <c r="F22" s="28">
        <f>IF($D22="","",IFERROR(VLOOKUP($D22,'Products &amp; Pricing'!$A$14:$D$28,4,FALSE),""))</f>
        <v/>
      </c>
      <c r="G22" s="28">
        <f>IF($D22="","",N(E22)*N(F22))</f>
        <v/>
      </c>
      <c r="H22" s="27" t="n"/>
      <c r="I22" s="27" t="n"/>
      <c r="J22" s="28">
        <f>IF($D22="","",N(G22)+N(H22)-N(I22))</f>
        <v/>
      </c>
      <c r="K22" s="27" t="n"/>
      <c r="L22" s="28">
        <f>IF($D22="","",N(J22)-N(K22))</f>
        <v/>
      </c>
    </row>
    <row r="23">
      <c r="A23" s="38" t="n"/>
      <c r="B23" s="12" t="n"/>
      <c r="C23" s="12" t="n"/>
      <c r="D23" s="12" t="n"/>
      <c r="E23" s="43" t="n"/>
      <c r="F23" s="28">
        <f>IF($D23="","",IFERROR(VLOOKUP($D23,'Products &amp; Pricing'!$A$14:$D$28,4,FALSE),""))</f>
        <v/>
      </c>
      <c r="G23" s="28">
        <f>IF($D23="","",N(E23)*N(F23))</f>
        <v/>
      </c>
      <c r="H23" s="27" t="n"/>
      <c r="I23" s="27" t="n"/>
      <c r="J23" s="28">
        <f>IF($D23="","",N(G23)+N(H23)-N(I23))</f>
        <v/>
      </c>
      <c r="K23" s="27" t="n"/>
      <c r="L23" s="28">
        <f>IF($D23="","",N(J23)-N(K23))</f>
        <v/>
      </c>
    </row>
    <row r="24">
      <c r="A24" s="38" t="n"/>
      <c r="B24" s="12" t="n"/>
      <c r="C24" s="12" t="n"/>
      <c r="D24" s="12" t="n"/>
      <c r="E24" s="43" t="n"/>
      <c r="F24" s="28">
        <f>IF($D24="","",IFERROR(VLOOKUP($D24,'Products &amp; Pricing'!$A$14:$D$28,4,FALSE),""))</f>
        <v/>
      </c>
      <c r="G24" s="28">
        <f>IF($D24="","",N(E24)*N(F24))</f>
        <v/>
      </c>
      <c r="H24" s="27" t="n"/>
      <c r="I24" s="27" t="n"/>
      <c r="J24" s="28">
        <f>IF($D24="","",N(G24)+N(H24)-N(I24))</f>
        <v/>
      </c>
      <c r="K24" s="27" t="n"/>
      <c r="L24" s="28">
        <f>IF($D24="","",N(J24)-N(K24))</f>
        <v/>
      </c>
    </row>
    <row r="25">
      <c r="A25" s="38" t="n"/>
      <c r="B25" s="12" t="n"/>
      <c r="C25" s="12" t="n"/>
      <c r="D25" s="12" t="n"/>
      <c r="E25" s="43" t="n"/>
      <c r="F25" s="28">
        <f>IF($D25="","",IFERROR(VLOOKUP($D25,'Products &amp; Pricing'!$A$14:$D$28,4,FALSE),""))</f>
        <v/>
      </c>
      <c r="G25" s="28">
        <f>IF($D25="","",N(E25)*N(F25))</f>
        <v/>
      </c>
      <c r="H25" s="27" t="n"/>
      <c r="I25" s="27" t="n"/>
      <c r="J25" s="28">
        <f>IF($D25="","",N(G25)+N(H25)-N(I25))</f>
        <v/>
      </c>
      <c r="K25" s="27" t="n"/>
      <c r="L25" s="28">
        <f>IF($D25="","",N(J25)-N(K25))</f>
        <v/>
      </c>
    </row>
    <row r="26">
      <c r="A26" s="38" t="n"/>
      <c r="B26" s="12" t="n"/>
      <c r="C26" s="12" t="n"/>
      <c r="D26" s="12" t="n"/>
      <c r="E26" s="43" t="n"/>
      <c r="F26" s="28">
        <f>IF($D26="","",IFERROR(VLOOKUP($D26,'Products &amp; Pricing'!$A$14:$D$28,4,FALSE),""))</f>
        <v/>
      </c>
      <c r="G26" s="28">
        <f>IF($D26="","",N(E26)*N(F26))</f>
        <v/>
      </c>
      <c r="H26" s="27" t="n"/>
      <c r="I26" s="27" t="n"/>
      <c r="J26" s="28">
        <f>IF($D26="","",N(G26)+N(H26)-N(I26))</f>
        <v/>
      </c>
      <c r="K26" s="27" t="n"/>
      <c r="L26" s="28">
        <f>IF($D26="","",N(J26)-N(K26))</f>
        <v/>
      </c>
    </row>
    <row r="27">
      <c r="A27" s="38" t="n"/>
      <c r="B27" s="12" t="n"/>
      <c r="C27" s="12" t="n"/>
      <c r="D27" s="12" t="n"/>
      <c r="E27" s="43" t="n"/>
      <c r="F27" s="28">
        <f>IF($D27="","",IFERROR(VLOOKUP($D27,'Products &amp; Pricing'!$A$14:$D$28,4,FALSE),""))</f>
        <v/>
      </c>
      <c r="G27" s="28">
        <f>IF($D27="","",N(E27)*N(F27))</f>
        <v/>
      </c>
      <c r="H27" s="27" t="n"/>
      <c r="I27" s="27" t="n"/>
      <c r="J27" s="28">
        <f>IF($D27="","",N(G27)+N(H27)-N(I27))</f>
        <v/>
      </c>
      <c r="K27" s="27" t="n"/>
      <c r="L27" s="28">
        <f>IF($D27="","",N(J27)-N(K27))</f>
        <v/>
      </c>
    </row>
    <row r="28">
      <c r="A28" s="38" t="n"/>
      <c r="B28" s="12" t="n"/>
      <c r="C28" s="12" t="n"/>
      <c r="D28" s="12" t="n"/>
      <c r="E28" s="43" t="n"/>
      <c r="F28" s="28">
        <f>IF($D28="","",IFERROR(VLOOKUP($D28,'Products &amp; Pricing'!$A$14:$D$28,4,FALSE),""))</f>
        <v/>
      </c>
      <c r="G28" s="28">
        <f>IF($D28="","",N(E28)*N(F28))</f>
        <v/>
      </c>
      <c r="H28" s="27" t="n"/>
      <c r="I28" s="27" t="n"/>
      <c r="J28" s="28">
        <f>IF($D28="","",N(G28)+N(H28)-N(I28))</f>
        <v/>
      </c>
      <c r="K28" s="27" t="n"/>
      <c r="L28" s="28">
        <f>IF($D28="","",N(J28)-N(K28))</f>
        <v/>
      </c>
    </row>
    <row r="29">
      <c r="A29" s="38" t="n"/>
      <c r="B29" s="12" t="n"/>
      <c r="C29" s="12" t="n"/>
      <c r="D29" s="12" t="n"/>
      <c r="E29" s="43" t="n"/>
      <c r="F29" s="28">
        <f>IF($D29="","",IFERROR(VLOOKUP($D29,'Products &amp; Pricing'!$A$14:$D$28,4,FALSE),""))</f>
        <v/>
      </c>
      <c r="G29" s="28">
        <f>IF($D29="","",N(E29)*N(F29))</f>
        <v/>
      </c>
      <c r="H29" s="27" t="n"/>
      <c r="I29" s="27" t="n"/>
      <c r="J29" s="28">
        <f>IF($D29="","",N(G29)+N(H29)-N(I29))</f>
        <v/>
      </c>
      <c r="K29" s="27" t="n"/>
      <c r="L29" s="28">
        <f>IF($D29="","",N(J29)-N(K29))</f>
        <v/>
      </c>
    </row>
    <row r="30">
      <c r="A30" s="38" t="n"/>
      <c r="B30" s="12" t="n"/>
      <c r="C30" s="12" t="n"/>
      <c r="D30" s="12" t="n"/>
      <c r="E30" s="43" t="n"/>
      <c r="F30" s="28">
        <f>IF($D30="","",IFERROR(VLOOKUP($D30,'Products &amp; Pricing'!$A$14:$D$28,4,FALSE),""))</f>
        <v/>
      </c>
      <c r="G30" s="28">
        <f>IF($D30="","",N(E30)*N(F30))</f>
        <v/>
      </c>
      <c r="H30" s="27" t="n"/>
      <c r="I30" s="27" t="n"/>
      <c r="J30" s="28">
        <f>IF($D30="","",N(G30)+N(H30)-N(I30))</f>
        <v/>
      </c>
      <c r="K30" s="27" t="n"/>
      <c r="L30" s="28">
        <f>IF($D30="","",N(J30)-N(K30))</f>
        <v/>
      </c>
    </row>
    <row r="31">
      <c r="A31" s="38" t="n"/>
      <c r="B31" s="12" t="n"/>
      <c r="C31" s="12" t="n"/>
      <c r="D31" s="12" t="n"/>
      <c r="E31" s="43" t="n"/>
      <c r="F31" s="28">
        <f>IF($D31="","",IFERROR(VLOOKUP($D31,'Products &amp; Pricing'!$A$14:$D$28,4,FALSE),""))</f>
        <v/>
      </c>
      <c r="G31" s="28">
        <f>IF($D31="","",N(E31)*N(F31))</f>
        <v/>
      </c>
      <c r="H31" s="27" t="n"/>
      <c r="I31" s="27" t="n"/>
      <c r="J31" s="28">
        <f>IF($D31="","",N(G31)+N(H31)-N(I31))</f>
        <v/>
      </c>
      <c r="K31" s="27" t="n"/>
      <c r="L31" s="28">
        <f>IF($D31="","",N(J31)-N(K31))</f>
        <v/>
      </c>
    </row>
    <row r="32">
      <c r="A32" s="38" t="n"/>
      <c r="B32" s="12" t="n"/>
      <c r="C32" s="12" t="n"/>
      <c r="D32" s="12" t="n"/>
      <c r="E32" s="43" t="n"/>
      <c r="F32" s="28">
        <f>IF($D32="","",IFERROR(VLOOKUP($D32,'Products &amp; Pricing'!$A$14:$D$28,4,FALSE),""))</f>
        <v/>
      </c>
      <c r="G32" s="28">
        <f>IF($D32="","",N(E32)*N(F32))</f>
        <v/>
      </c>
      <c r="H32" s="27" t="n"/>
      <c r="I32" s="27" t="n"/>
      <c r="J32" s="28">
        <f>IF($D32="","",N(G32)+N(H32)-N(I32))</f>
        <v/>
      </c>
      <c r="K32" s="27" t="n"/>
      <c r="L32" s="28">
        <f>IF($D32="","",N(J32)-N(K32))</f>
        <v/>
      </c>
    </row>
    <row r="33">
      <c r="A33" s="38" t="n"/>
      <c r="B33" s="12" t="n"/>
      <c r="C33" s="12" t="n"/>
      <c r="D33" s="12" t="n"/>
      <c r="E33" s="43" t="n"/>
      <c r="F33" s="28">
        <f>IF($D33="","",IFERROR(VLOOKUP($D33,'Products &amp; Pricing'!$A$14:$D$28,4,FALSE),""))</f>
        <v/>
      </c>
      <c r="G33" s="28">
        <f>IF($D33="","",N(E33)*N(F33))</f>
        <v/>
      </c>
      <c r="H33" s="27" t="n"/>
      <c r="I33" s="27" t="n"/>
      <c r="J33" s="28">
        <f>IF($D33="","",N(G33)+N(H33)-N(I33))</f>
        <v/>
      </c>
      <c r="K33" s="27" t="n"/>
      <c r="L33" s="28">
        <f>IF($D33="","",N(J33)-N(K33))</f>
        <v/>
      </c>
    </row>
    <row r="34">
      <c r="A34" s="38" t="n"/>
      <c r="B34" s="12" t="n"/>
      <c r="C34" s="12" t="n"/>
      <c r="D34" s="12" t="n"/>
      <c r="E34" s="43" t="n"/>
      <c r="F34" s="28">
        <f>IF($D34="","",IFERROR(VLOOKUP($D34,'Products &amp; Pricing'!$A$14:$D$28,4,FALSE),""))</f>
        <v/>
      </c>
      <c r="G34" s="28">
        <f>IF($D34="","",N(E34)*N(F34))</f>
        <v/>
      </c>
      <c r="H34" s="27" t="n"/>
      <c r="I34" s="27" t="n"/>
      <c r="J34" s="28">
        <f>IF($D34="","",N(G34)+N(H34)-N(I34))</f>
        <v/>
      </c>
      <c r="K34" s="27" t="n"/>
      <c r="L34" s="28">
        <f>IF($D34="","",N(J34)-N(K34))</f>
        <v/>
      </c>
    </row>
    <row r="35">
      <c r="A35" s="38" t="n"/>
      <c r="B35" s="12" t="n"/>
      <c r="C35" s="12" t="n"/>
      <c r="D35" s="12" t="n"/>
      <c r="E35" s="43" t="n"/>
      <c r="F35" s="28">
        <f>IF($D35="","",IFERROR(VLOOKUP($D35,'Products &amp; Pricing'!$A$14:$D$28,4,FALSE),""))</f>
        <v/>
      </c>
      <c r="G35" s="28">
        <f>IF($D35="","",N(E35)*N(F35))</f>
        <v/>
      </c>
      <c r="H35" s="27" t="n"/>
      <c r="I35" s="27" t="n"/>
      <c r="J35" s="28">
        <f>IF($D35="","",N(G35)+N(H35)-N(I35))</f>
        <v/>
      </c>
      <c r="K35" s="27" t="n"/>
      <c r="L35" s="28">
        <f>IF($D35="","",N(J35)-N(K35))</f>
        <v/>
      </c>
    </row>
    <row r="36">
      <c r="A36" s="38" t="n"/>
      <c r="B36" s="12" t="n"/>
      <c r="C36" s="12" t="n"/>
      <c r="D36" s="12" t="n"/>
      <c r="E36" s="43" t="n"/>
      <c r="F36" s="28">
        <f>IF($D36="","",IFERROR(VLOOKUP($D36,'Products &amp; Pricing'!$A$14:$D$28,4,FALSE),""))</f>
        <v/>
      </c>
      <c r="G36" s="28">
        <f>IF($D36="","",N(E36)*N(F36))</f>
        <v/>
      </c>
      <c r="H36" s="27" t="n"/>
      <c r="I36" s="27" t="n"/>
      <c r="J36" s="28">
        <f>IF($D36="","",N(G36)+N(H36)-N(I36))</f>
        <v/>
      </c>
      <c r="K36" s="27" t="n"/>
      <c r="L36" s="28">
        <f>IF($D36="","",N(J36)-N(K36))</f>
        <v/>
      </c>
    </row>
    <row r="37">
      <c r="A37" s="38" t="n"/>
      <c r="B37" s="12" t="n"/>
      <c r="C37" s="12" t="n"/>
      <c r="D37" s="12" t="n"/>
      <c r="E37" s="43" t="n"/>
      <c r="F37" s="28">
        <f>IF($D37="","",IFERROR(VLOOKUP($D37,'Products &amp; Pricing'!$A$14:$D$28,4,FALSE),""))</f>
        <v/>
      </c>
      <c r="G37" s="28">
        <f>IF($D37="","",N(E37)*N(F37))</f>
        <v/>
      </c>
      <c r="H37" s="27" t="n"/>
      <c r="I37" s="27" t="n"/>
      <c r="J37" s="28">
        <f>IF($D37="","",N(G37)+N(H37)-N(I37))</f>
        <v/>
      </c>
      <c r="K37" s="27" t="n"/>
      <c r="L37" s="28">
        <f>IF($D37="","",N(J37)-N(K37))</f>
        <v/>
      </c>
    </row>
    <row r="38">
      <c r="A38" s="38" t="n"/>
      <c r="B38" s="12" t="n"/>
      <c r="C38" s="12" t="n"/>
      <c r="D38" s="12" t="n"/>
      <c r="E38" s="43" t="n"/>
      <c r="F38" s="28">
        <f>IF($D38="","",IFERROR(VLOOKUP($D38,'Products &amp; Pricing'!$A$14:$D$28,4,FALSE),""))</f>
        <v/>
      </c>
      <c r="G38" s="28">
        <f>IF($D38="","",N(E38)*N(F38))</f>
        <v/>
      </c>
      <c r="H38" s="27" t="n"/>
      <c r="I38" s="27" t="n"/>
      <c r="J38" s="28">
        <f>IF($D38="","",N(G38)+N(H38)-N(I38))</f>
        <v/>
      </c>
      <c r="K38" s="27" t="n"/>
      <c r="L38" s="28">
        <f>IF($D38="","",N(J38)-N(K38))</f>
        <v/>
      </c>
    </row>
    <row r="39">
      <c r="A39" s="38" t="n"/>
      <c r="B39" s="12" t="n"/>
      <c r="C39" s="12" t="n"/>
      <c r="D39" s="12" t="n"/>
      <c r="E39" s="43" t="n"/>
      <c r="F39" s="28">
        <f>IF($D39="","",IFERROR(VLOOKUP($D39,'Products &amp; Pricing'!$A$14:$D$28,4,FALSE),""))</f>
        <v/>
      </c>
      <c r="G39" s="28">
        <f>IF($D39="","",N(E39)*N(F39))</f>
        <v/>
      </c>
      <c r="H39" s="27" t="n"/>
      <c r="I39" s="27" t="n"/>
      <c r="J39" s="28">
        <f>IF($D39="","",N(G39)+N(H39)-N(I39))</f>
        <v/>
      </c>
      <c r="K39" s="27" t="n"/>
      <c r="L39" s="28">
        <f>IF($D39="","",N(J39)-N(K39))</f>
        <v/>
      </c>
    </row>
    <row r="40">
      <c r="A40" s="38" t="n"/>
      <c r="B40" s="12" t="n"/>
      <c r="C40" s="12" t="n"/>
      <c r="D40" s="12" t="n"/>
      <c r="E40" s="43" t="n"/>
      <c r="F40" s="28">
        <f>IF($D40="","",IFERROR(VLOOKUP($D40,'Products &amp; Pricing'!$A$14:$D$28,4,FALSE),""))</f>
        <v/>
      </c>
      <c r="G40" s="28">
        <f>IF($D40="","",N(E40)*N(F40))</f>
        <v/>
      </c>
      <c r="H40" s="27" t="n"/>
      <c r="I40" s="27" t="n"/>
      <c r="J40" s="28">
        <f>IF($D40="","",N(G40)+N(H40)-N(I40))</f>
        <v/>
      </c>
      <c r="K40" s="27" t="n"/>
      <c r="L40" s="28">
        <f>IF($D40="","",N(J40)-N(K40))</f>
        <v/>
      </c>
    </row>
    <row r="41">
      <c r="A41" s="38" t="n"/>
      <c r="B41" s="12" t="n"/>
      <c r="C41" s="12" t="n"/>
      <c r="D41" s="12" t="n"/>
      <c r="E41" s="43" t="n"/>
      <c r="F41" s="28">
        <f>IF($D41="","",IFERROR(VLOOKUP($D41,'Products &amp; Pricing'!$A$14:$D$28,4,FALSE),""))</f>
        <v/>
      </c>
      <c r="G41" s="28">
        <f>IF($D41="","",N(E41)*N(F41))</f>
        <v/>
      </c>
      <c r="H41" s="27" t="n"/>
      <c r="I41" s="27" t="n"/>
      <c r="J41" s="28">
        <f>IF($D41="","",N(G41)+N(H41)-N(I41))</f>
        <v/>
      </c>
      <c r="K41" s="27" t="n"/>
      <c r="L41" s="28">
        <f>IF($D41="","",N(J41)-N(K41))</f>
        <v/>
      </c>
    </row>
    <row r="42">
      <c r="A42" s="38" t="n"/>
      <c r="B42" s="12" t="n"/>
      <c r="C42" s="12" t="n"/>
      <c r="D42" s="12" t="n"/>
      <c r="E42" s="43" t="n"/>
      <c r="F42" s="28">
        <f>IF($D42="","",IFERROR(VLOOKUP($D42,'Products &amp; Pricing'!$A$14:$D$28,4,FALSE),""))</f>
        <v/>
      </c>
      <c r="G42" s="28">
        <f>IF($D42="","",N(E42)*N(F42))</f>
        <v/>
      </c>
      <c r="H42" s="27" t="n"/>
      <c r="I42" s="27" t="n"/>
      <c r="J42" s="28">
        <f>IF($D42="","",N(G42)+N(H42)-N(I42))</f>
        <v/>
      </c>
      <c r="K42" s="27" t="n"/>
      <c r="L42" s="28">
        <f>IF($D42="","",N(J42)-N(K42))</f>
        <v/>
      </c>
    </row>
    <row r="43">
      <c r="A43" s="38" t="n"/>
      <c r="B43" s="12" t="n"/>
      <c r="C43" s="12" t="n"/>
      <c r="D43" s="12" t="n"/>
      <c r="E43" s="43" t="n"/>
      <c r="F43" s="28">
        <f>IF($D43="","",IFERROR(VLOOKUP($D43,'Products &amp; Pricing'!$A$14:$D$28,4,FALSE),""))</f>
        <v/>
      </c>
      <c r="G43" s="28">
        <f>IF($D43="","",N(E43)*N(F43))</f>
        <v/>
      </c>
      <c r="H43" s="27" t="n"/>
      <c r="I43" s="27" t="n"/>
      <c r="J43" s="28">
        <f>IF($D43="","",N(G43)+N(H43)-N(I43))</f>
        <v/>
      </c>
      <c r="K43" s="27" t="n"/>
      <c r="L43" s="28">
        <f>IF($D43="","",N(J43)-N(K43))</f>
        <v/>
      </c>
    </row>
    <row r="44">
      <c r="A44" s="38" t="n"/>
      <c r="B44" s="12" t="n"/>
      <c r="C44" s="12" t="n"/>
      <c r="D44" s="12" t="n"/>
      <c r="E44" s="43" t="n"/>
      <c r="F44" s="28">
        <f>IF($D44="","",IFERROR(VLOOKUP($D44,'Products &amp; Pricing'!$A$14:$D$28,4,FALSE),""))</f>
        <v/>
      </c>
      <c r="G44" s="28">
        <f>IF($D44="","",N(E44)*N(F44))</f>
        <v/>
      </c>
      <c r="H44" s="27" t="n"/>
      <c r="I44" s="27" t="n"/>
      <c r="J44" s="28">
        <f>IF($D44="","",N(G44)+N(H44)-N(I44))</f>
        <v/>
      </c>
      <c r="K44" s="27" t="n"/>
      <c r="L44" s="28">
        <f>IF($D44="","",N(J44)-N(K44))</f>
        <v/>
      </c>
    </row>
    <row r="45">
      <c r="A45" s="38" t="n"/>
      <c r="B45" s="12" t="n"/>
      <c r="C45" s="12" t="n"/>
      <c r="D45" s="12" t="n"/>
      <c r="E45" s="43" t="n"/>
      <c r="F45" s="28">
        <f>IF($D45="","",IFERROR(VLOOKUP($D45,'Products &amp; Pricing'!$A$14:$D$28,4,FALSE),""))</f>
        <v/>
      </c>
      <c r="G45" s="28">
        <f>IF($D45="","",N(E45)*N(F45))</f>
        <v/>
      </c>
      <c r="H45" s="27" t="n"/>
      <c r="I45" s="27" t="n"/>
      <c r="J45" s="28">
        <f>IF($D45="","",N(G45)+N(H45)-N(I45))</f>
        <v/>
      </c>
      <c r="K45" s="27" t="n"/>
      <c r="L45" s="28">
        <f>IF($D45="","",N(J45)-N(K45))</f>
        <v/>
      </c>
    </row>
    <row r="46">
      <c r="A46" s="38" t="n"/>
      <c r="B46" s="12" t="n"/>
      <c r="C46" s="12" t="n"/>
      <c r="D46" s="12" t="n"/>
      <c r="E46" s="43" t="n"/>
      <c r="F46" s="28">
        <f>IF($D46="","",IFERROR(VLOOKUP($D46,'Products &amp; Pricing'!$A$14:$D$28,4,FALSE),""))</f>
        <v/>
      </c>
      <c r="G46" s="28">
        <f>IF($D46="","",N(E46)*N(F46))</f>
        <v/>
      </c>
      <c r="H46" s="27" t="n"/>
      <c r="I46" s="27" t="n"/>
      <c r="J46" s="28">
        <f>IF($D46="","",N(G46)+N(H46)-N(I46))</f>
        <v/>
      </c>
      <c r="K46" s="27" t="n"/>
      <c r="L46" s="28">
        <f>IF($D46="","",N(J46)-N(K46))</f>
        <v/>
      </c>
    </row>
    <row r="47">
      <c r="A47" s="38" t="n"/>
      <c r="B47" s="12" t="n"/>
      <c r="C47" s="12" t="n"/>
      <c r="D47" s="12" t="n"/>
      <c r="E47" s="43" t="n"/>
      <c r="F47" s="28">
        <f>IF($D47="","",IFERROR(VLOOKUP($D47,'Products &amp; Pricing'!$A$14:$D$28,4,FALSE),""))</f>
        <v/>
      </c>
      <c r="G47" s="28">
        <f>IF($D47="","",N(E47)*N(F47))</f>
        <v/>
      </c>
      <c r="H47" s="27" t="n"/>
      <c r="I47" s="27" t="n"/>
      <c r="J47" s="28">
        <f>IF($D47="","",N(G47)+N(H47)-N(I47))</f>
        <v/>
      </c>
      <c r="K47" s="27" t="n"/>
      <c r="L47" s="28">
        <f>IF($D47="","",N(J47)-N(K47))</f>
        <v/>
      </c>
    </row>
    <row r="48">
      <c r="A48" s="38" t="n"/>
      <c r="B48" s="12" t="n"/>
      <c r="C48" s="12" t="n"/>
      <c r="D48" s="12" t="n"/>
      <c r="E48" s="43" t="n"/>
      <c r="F48" s="28">
        <f>IF($D48="","",IFERROR(VLOOKUP($D48,'Products &amp; Pricing'!$A$14:$D$28,4,FALSE),""))</f>
        <v/>
      </c>
      <c r="G48" s="28">
        <f>IF($D48="","",N(E48)*N(F48))</f>
        <v/>
      </c>
      <c r="H48" s="27" t="n"/>
      <c r="I48" s="27" t="n"/>
      <c r="J48" s="28">
        <f>IF($D48="","",N(G48)+N(H48)-N(I48))</f>
        <v/>
      </c>
      <c r="K48" s="27" t="n"/>
      <c r="L48" s="28">
        <f>IF($D48="","",N(J48)-N(K48))</f>
        <v/>
      </c>
    </row>
    <row r="49">
      <c r="A49" s="38" t="n"/>
      <c r="B49" s="12" t="n"/>
      <c r="C49" s="12" t="n"/>
      <c r="D49" s="12" t="n"/>
      <c r="E49" s="43" t="n"/>
      <c r="F49" s="28">
        <f>IF($D49="","",IFERROR(VLOOKUP($D49,'Products &amp; Pricing'!$A$14:$D$28,4,FALSE),""))</f>
        <v/>
      </c>
      <c r="G49" s="28">
        <f>IF($D49="","",N(E49)*N(F49))</f>
        <v/>
      </c>
      <c r="H49" s="27" t="n"/>
      <c r="I49" s="27" t="n"/>
      <c r="J49" s="28">
        <f>IF($D49="","",N(G49)+N(H49)-N(I49))</f>
        <v/>
      </c>
      <c r="K49" s="27" t="n"/>
      <c r="L49" s="28">
        <f>IF($D49="","",N(J49)-N(K49))</f>
        <v/>
      </c>
    </row>
    <row r="50">
      <c r="A50" s="38" t="n"/>
      <c r="B50" s="12" t="n"/>
      <c r="C50" s="12" t="n"/>
      <c r="D50" s="12" t="n"/>
      <c r="E50" s="43" t="n"/>
      <c r="F50" s="28">
        <f>IF($D50="","",IFERROR(VLOOKUP($D50,'Products &amp; Pricing'!$A$14:$D$28,4,FALSE),""))</f>
        <v/>
      </c>
      <c r="G50" s="28">
        <f>IF($D50="","",N(E50)*N(F50))</f>
        <v/>
      </c>
      <c r="H50" s="27" t="n"/>
      <c r="I50" s="27" t="n"/>
      <c r="J50" s="28">
        <f>IF($D50="","",N(G50)+N(H50)-N(I50))</f>
        <v/>
      </c>
      <c r="K50" s="27" t="n"/>
      <c r="L50" s="28">
        <f>IF($D50="","",N(J50)-N(K50))</f>
        <v/>
      </c>
    </row>
    <row r="51">
      <c r="A51" s="38" t="n"/>
      <c r="B51" s="12" t="n"/>
      <c r="C51" s="12" t="n"/>
      <c r="D51" s="12" t="n"/>
      <c r="E51" s="43" t="n"/>
      <c r="F51" s="28">
        <f>IF($D51="","",IFERROR(VLOOKUP($D51,'Products &amp; Pricing'!$A$14:$D$28,4,FALSE),""))</f>
        <v/>
      </c>
      <c r="G51" s="28">
        <f>IF($D51="","",N(E51)*N(F51))</f>
        <v/>
      </c>
      <c r="H51" s="27" t="n"/>
      <c r="I51" s="27" t="n"/>
      <c r="J51" s="28">
        <f>IF($D51="","",N(G51)+N(H51)-N(I51))</f>
        <v/>
      </c>
      <c r="K51" s="27" t="n"/>
      <c r="L51" s="28">
        <f>IF($D51="","",N(J51)-N(K51))</f>
        <v/>
      </c>
    </row>
    <row r="52">
      <c r="A52" s="38" t="n"/>
      <c r="B52" s="12" t="n"/>
      <c r="C52" s="12" t="n"/>
      <c r="D52" s="12" t="n"/>
      <c r="E52" s="43" t="n"/>
      <c r="F52" s="28">
        <f>IF($D52="","",IFERROR(VLOOKUP($D52,'Products &amp; Pricing'!$A$14:$D$28,4,FALSE),""))</f>
        <v/>
      </c>
      <c r="G52" s="28">
        <f>IF($D52="","",N(E52)*N(F52))</f>
        <v/>
      </c>
      <c r="H52" s="27" t="n"/>
      <c r="I52" s="27" t="n"/>
      <c r="J52" s="28">
        <f>IF($D52="","",N(G52)+N(H52)-N(I52))</f>
        <v/>
      </c>
      <c r="K52" s="27" t="n"/>
      <c r="L52" s="28">
        <f>IF($D52="","",N(J52)-N(K52))</f>
        <v/>
      </c>
    </row>
    <row r="53">
      <c r="A53" s="38" t="n"/>
      <c r="B53" s="12" t="n"/>
      <c r="C53" s="12" t="n"/>
      <c r="D53" s="12" t="n"/>
      <c r="E53" s="43" t="n"/>
      <c r="F53" s="28">
        <f>IF($D53="","",IFERROR(VLOOKUP($D53,'Products &amp; Pricing'!$A$14:$D$28,4,FALSE),""))</f>
        <v/>
      </c>
      <c r="G53" s="28">
        <f>IF($D53="","",N(E53)*N(F53))</f>
        <v/>
      </c>
      <c r="H53" s="27" t="n"/>
      <c r="I53" s="27" t="n"/>
      <c r="J53" s="28">
        <f>IF($D53="","",N(G53)+N(H53)-N(I53))</f>
        <v/>
      </c>
      <c r="K53" s="27" t="n"/>
      <c r="L53" s="28">
        <f>IF($D53="","",N(J53)-N(K53))</f>
        <v/>
      </c>
    </row>
    <row r="54">
      <c r="A54" s="38" t="n"/>
      <c r="B54" s="12" t="n"/>
      <c r="C54" s="12" t="n"/>
      <c r="D54" s="12" t="n"/>
      <c r="E54" s="43" t="n"/>
      <c r="F54" s="28">
        <f>IF($D54="","",IFERROR(VLOOKUP($D54,'Products &amp; Pricing'!$A$14:$D$28,4,FALSE),""))</f>
        <v/>
      </c>
      <c r="G54" s="28">
        <f>IF($D54="","",N(E54)*N(F54))</f>
        <v/>
      </c>
      <c r="H54" s="27" t="n"/>
      <c r="I54" s="27" t="n"/>
      <c r="J54" s="28">
        <f>IF($D54="","",N(G54)+N(H54)-N(I54))</f>
        <v/>
      </c>
      <c r="K54" s="27" t="n"/>
      <c r="L54" s="28">
        <f>IF($D54="","",N(J54)-N(K54))</f>
        <v/>
      </c>
    </row>
    <row r="55">
      <c r="A55" s="38" t="n"/>
      <c r="B55" s="12" t="n"/>
      <c r="C55" s="12" t="n"/>
      <c r="D55" s="12" t="n"/>
      <c r="E55" s="43" t="n"/>
      <c r="F55" s="28">
        <f>IF($D55="","",IFERROR(VLOOKUP($D55,'Products &amp; Pricing'!$A$14:$D$28,4,FALSE),""))</f>
        <v/>
      </c>
      <c r="G55" s="28">
        <f>IF($D55="","",N(E55)*N(F55))</f>
        <v/>
      </c>
      <c r="H55" s="27" t="n"/>
      <c r="I55" s="27" t="n"/>
      <c r="J55" s="28">
        <f>IF($D55="","",N(G55)+N(H55)-N(I55))</f>
        <v/>
      </c>
      <c r="K55" s="27" t="n"/>
      <c r="L55" s="28">
        <f>IF($D55="","",N(J55)-N(K55))</f>
        <v/>
      </c>
    </row>
    <row r="56">
      <c r="A56" s="38" t="n"/>
      <c r="B56" s="12" t="n"/>
      <c r="C56" s="12" t="n"/>
      <c r="D56" s="12" t="n"/>
      <c r="E56" s="43" t="n"/>
      <c r="F56" s="28">
        <f>IF($D56="","",IFERROR(VLOOKUP($D56,'Products &amp; Pricing'!$A$14:$D$28,4,FALSE),""))</f>
        <v/>
      </c>
      <c r="G56" s="28">
        <f>IF($D56="","",N(E56)*N(F56))</f>
        <v/>
      </c>
      <c r="H56" s="27" t="n"/>
      <c r="I56" s="27" t="n"/>
      <c r="J56" s="28">
        <f>IF($D56="","",N(G56)+N(H56)-N(I56))</f>
        <v/>
      </c>
      <c r="K56" s="27" t="n"/>
      <c r="L56" s="28">
        <f>IF($D56="","",N(J56)-N(K56))</f>
        <v/>
      </c>
    </row>
    <row r="57">
      <c r="A57" s="38" t="n"/>
      <c r="B57" s="12" t="n"/>
      <c r="C57" s="12" t="n"/>
      <c r="D57" s="12" t="n"/>
      <c r="E57" s="43" t="n"/>
      <c r="F57" s="28">
        <f>IF($D57="","",IFERROR(VLOOKUP($D57,'Products &amp; Pricing'!$A$14:$D$28,4,FALSE),""))</f>
        <v/>
      </c>
      <c r="G57" s="28">
        <f>IF($D57="","",N(E57)*N(F57))</f>
        <v/>
      </c>
      <c r="H57" s="27" t="n"/>
      <c r="I57" s="27" t="n"/>
      <c r="J57" s="28">
        <f>IF($D57="","",N(G57)+N(H57)-N(I57))</f>
        <v/>
      </c>
      <c r="K57" s="27" t="n"/>
      <c r="L57" s="28">
        <f>IF($D57="","",N(J57)-N(K57))</f>
        <v/>
      </c>
    </row>
    <row r="58">
      <c r="A58" s="38" t="n"/>
      <c r="B58" s="12" t="n"/>
      <c r="C58" s="12" t="n"/>
      <c r="D58" s="12" t="n"/>
      <c r="E58" s="43" t="n"/>
      <c r="F58" s="28">
        <f>IF($D58="","",IFERROR(VLOOKUP($D58,'Products &amp; Pricing'!$A$14:$D$28,4,FALSE),""))</f>
        <v/>
      </c>
      <c r="G58" s="28">
        <f>IF($D58="","",N(E58)*N(F58))</f>
        <v/>
      </c>
      <c r="H58" s="27" t="n"/>
      <c r="I58" s="27" t="n"/>
      <c r="J58" s="28">
        <f>IF($D58="","",N(G58)+N(H58)-N(I58))</f>
        <v/>
      </c>
      <c r="K58" s="27" t="n"/>
      <c r="L58" s="28">
        <f>IF($D58="","",N(J58)-N(K58))</f>
        <v/>
      </c>
    </row>
    <row r="59">
      <c r="A59" s="38" t="n"/>
      <c r="B59" s="12" t="n"/>
      <c r="C59" s="12" t="n"/>
      <c r="D59" s="12" t="n"/>
      <c r="E59" s="43" t="n"/>
      <c r="F59" s="28">
        <f>IF($D59="","",IFERROR(VLOOKUP($D59,'Products &amp; Pricing'!$A$14:$D$28,4,FALSE),""))</f>
        <v/>
      </c>
      <c r="G59" s="28">
        <f>IF($D59="","",N(E59)*N(F59))</f>
        <v/>
      </c>
      <c r="H59" s="27" t="n"/>
      <c r="I59" s="27" t="n"/>
      <c r="J59" s="28">
        <f>IF($D59="","",N(G59)+N(H59)-N(I59))</f>
        <v/>
      </c>
      <c r="K59" s="27" t="n"/>
      <c r="L59" s="28">
        <f>IF($D59="","",N(J59)-N(K59))</f>
        <v/>
      </c>
    </row>
    <row r="60">
      <c r="A60" s="38" t="n"/>
      <c r="B60" s="12" t="n"/>
      <c r="C60" s="12" t="n"/>
      <c r="D60" s="12" t="n"/>
      <c r="E60" s="43" t="n"/>
      <c r="F60" s="28">
        <f>IF($D60="","",IFERROR(VLOOKUP($D60,'Products &amp; Pricing'!$A$14:$D$28,4,FALSE),""))</f>
        <v/>
      </c>
      <c r="G60" s="28">
        <f>IF($D60="","",N(E60)*N(F60))</f>
        <v/>
      </c>
      <c r="H60" s="27" t="n"/>
      <c r="I60" s="27" t="n"/>
      <c r="J60" s="28">
        <f>IF($D60="","",N(G60)+N(H60)-N(I60))</f>
        <v/>
      </c>
      <c r="K60" s="27" t="n"/>
      <c r="L60" s="28">
        <f>IF($D60="","",N(J60)-N(K60))</f>
        <v/>
      </c>
    </row>
    <row r="61">
      <c r="A61" s="38" t="n"/>
      <c r="B61" s="12" t="n"/>
      <c r="C61" s="12" t="n"/>
      <c r="D61" s="12" t="n"/>
      <c r="E61" s="43" t="n"/>
      <c r="F61" s="28">
        <f>IF($D61="","",IFERROR(VLOOKUP($D61,'Products &amp; Pricing'!$A$14:$D$28,4,FALSE),""))</f>
        <v/>
      </c>
      <c r="G61" s="28">
        <f>IF($D61="","",N(E61)*N(F61))</f>
        <v/>
      </c>
      <c r="H61" s="27" t="n"/>
      <c r="I61" s="27" t="n"/>
      <c r="J61" s="28">
        <f>IF($D61="","",N(G61)+N(H61)-N(I61))</f>
        <v/>
      </c>
      <c r="K61" s="27" t="n"/>
      <c r="L61" s="28">
        <f>IF($D61="","",N(J61)-N(K61))</f>
        <v/>
      </c>
    </row>
    <row r="62">
      <c r="A62" s="38" t="n"/>
      <c r="B62" s="12" t="n"/>
      <c r="C62" s="12" t="n"/>
      <c r="D62" s="12" t="n"/>
      <c r="E62" s="43" t="n"/>
      <c r="F62" s="28">
        <f>IF($D62="","",IFERROR(VLOOKUP($D62,'Products &amp; Pricing'!$A$14:$D$28,4,FALSE),""))</f>
        <v/>
      </c>
      <c r="G62" s="28">
        <f>IF($D62="","",N(E62)*N(F62))</f>
        <v/>
      </c>
      <c r="H62" s="27" t="n"/>
      <c r="I62" s="27" t="n"/>
      <c r="J62" s="28">
        <f>IF($D62="","",N(G62)+N(H62)-N(I62))</f>
        <v/>
      </c>
      <c r="K62" s="27" t="n"/>
      <c r="L62" s="28">
        <f>IF($D62="","",N(J62)-N(K62))</f>
        <v/>
      </c>
    </row>
    <row r="63">
      <c r="A63" s="38" t="n"/>
      <c r="B63" s="12" t="n"/>
      <c r="C63" s="12" t="n"/>
      <c r="D63" s="12" t="n"/>
      <c r="E63" s="43" t="n"/>
      <c r="F63" s="28">
        <f>IF($D63="","",IFERROR(VLOOKUP($D63,'Products &amp; Pricing'!$A$14:$D$28,4,FALSE),""))</f>
        <v/>
      </c>
      <c r="G63" s="28">
        <f>IF($D63="","",N(E63)*N(F63))</f>
        <v/>
      </c>
      <c r="H63" s="27" t="n"/>
      <c r="I63" s="27" t="n"/>
      <c r="J63" s="28">
        <f>IF($D63="","",N(G63)+N(H63)-N(I63))</f>
        <v/>
      </c>
      <c r="K63" s="27" t="n"/>
      <c r="L63" s="28">
        <f>IF($D63="","",N(J63)-N(K63))</f>
        <v/>
      </c>
    </row>
    <row r="64">
      <c r="A64" s="38" t="n"/>
      <c r="B64" s="12" t="n"/>
      <c r="C64" s="12" t="n"/>
      <c r="D64" s="12" t="n"/>
      <c r="E64" s="43" t="n"/>
      <c r="F64" s="28">
        <f>IF($D64="","",IFERROR(VLOOKUP($D64,'Products &amp; Pricing'!$A$14:$D$28,4,FALSE),""))</f>
        <v/>
      </c>
      <c r="G64" s="28">
        <f>IF($D64="","",N(E64)*N(F64))</f>
        <v/>
      </c>
      <c r="H64" s="27" t="n"/>
      <c r="I64" s="27" t="n"/>
      <c r="J64" s="28">
        <f>IF($D64="","",N(G64)+N(H64)-N(I64))</f>
        <v/>
      </c>
      <c r="K64" s="27" t="n"/>
      <c r="L64" s="28">
        <f>IF($D64="","",N(J64)-N(K64))</f>
        <v/>
      </c>
    </row>
    <row r="65">
      <c r="A65" s="38" t="n"/>
      <c r="B65" s="12" t="n"/>
      <c r="C65" s="12" t="n"/>
      <c r="D65" s="12" t="n"/>
      <c r="E65" s="43" t="n"/>
      <c r="F65" s="28">
        <f>IF($D65="","",IFERROR(VLOOKUP($D65,'Products &amp; Pricing'!$A$14:$D$28,4,FALSE),""))</f>
        <v/>
      </c>
      <c r="G65" s="28">
        <f>IF($D65="","",N(E65)*N(F65))</f>
        <v/>
      </c>
      <c r="H65" s="27" t="n"/>
      <c r="I65" s="27" t="n"/>
      <c r="J65" s="28">
        <f>IF($D65="","",N(G65)+N(H65)-N(I65))</f>
        <v/>
      </c>
      <c r="K65" s="27" t="n"/>
      <c r="L65" s="28">
        <f>IF($D65="","",N(J65)-N(K65))</f>
        <v/>
      </c>
    </row>
    <row r="66">
      <c r="A66" s="38" t="n"/>
      <c r="B66" s="12" t="n"/>
      <c r="C66" s="12" t="n"/>
      <c r="D66" s="12" t="n"/>
      <c r="E66" s="43" t="n"/>
      <c r="F66" s="28">
        <f>IF($D66="","",IFERROR(VLOOKUP($D66,'Products &amp; Pricing'!$A$14:$D$28,4,FALSE),""))</f>
        <v/>
      </c>
      <c r="G66" s="28">
        <f>IF($D66="","",N(E66)*N(F66))</f>
        <v/>
      </c>
      <c r="H66" s="27" t="n"/>
      <c r="I66" s="27" t="n"/>
      <c r="J66" s="28">
        <f>IF($D66="","",N(G66)+N(H66)-N(I66))</f>
        <v/>
      </c>
      <c r="K66" s="27" t="n"/>
      <c r="L66" s="28">
        <f>IF($D66="","",N(J66)-N(K66))</f>
        <v/>
      </c>
    </row>
    <row r="67">
      <c r="A67" s="38" t="n"/>
      <c r="B67" s="12" t="n"/>
      <c r="C67" s="12" t="n"/>
      <c r="D67" s="12" t="n"/>
      <c r="E67" s="43" t="n"/>
      <c r="F67" s="28">
        <f>IF($D67="","",IFERROR(VLOOKUP($D67,'Products &amp; Pricing'!$A$14:$D$28,4,FALSE),""))</f>
        <v/>
      </c>
      <c r="G67" s="28">
        <f>IF($D67="","",N(E67)*N(F67))</f>
        <v/>
      </c>
      <c r="H67" s="27" t="n"/>
      <c r="I67" s="27" t="n"/>
      <c r="J67" s="28">
        <f>IF($D67="","",N(G67)+N(H67)-N(I67))</f>
        <v/>
      </c>
      <c r="K67" s="27" t="n"/>
      <c r="L67" s="28">
        <f>IF($D67="","",N(J67)-N(K67))</f>
        <v/>
      </c>
    </row>
    <row r="68">
      <c r="A68" s="38" t="n"/>
      <c r="B68" s="12" t="n"/>
      <c r="C68" s="12" t="n"/>
      <c r="D68" s="12" t="n"/>
      <c r="E68" s="43" t="n"/>
      <c r="F68" s="28">
        <f>IF($D68="","",IFERROR(VLOOKUP($D68,'Products &amp; Pricing'!$A$14:$D$28,4,FALSE),""))</f>
        <v/>
      </c>
      <c r="G68" s="28">
        <f>IF($D68="","",N(E68)*N(F68))</f>
        <v/>
      </c>
      <c r="H68" s="27" t="n"/>
      <c r="I68" s="27" t="n"/>
      <c r="J68" s="28">
        <f>IF($D68="","",N(G68)+N(H68)-N(I68))</f>
        <v/>
      </c>
      <c r="K68" s="27" t="n"/>
      <c r="L68" s="28">
        <f>IF($D68="","",N(J68)-N(K68))</f>
        <v/>
      </c>
    </row>
    <row r="69">
      <c r="A69" s="38" t="n"/>
      <c r="B69" s="12" t="n"/>
      <c r="C69" s="12" t="n"/>
      <c r="D69" s="12" t="n"/>
      <c r="E69" s="43" t="n"/>
      <c r="F69" s="28">
        <f>IF($D69="","",IFERROR(VLOOKUP($D69,'Products &amp; Pricing'!$A$14:$D$28,4,FALSE),""))</f>
        <v/>
      </c>
      <c r="G69" s="28">
        <f>IF($D69="","",N(E69)*N(F69))</f>
        <v/>
      </c>
      <c r="H69" s="27" t="n"/>
      <c r="I69" s="27" t="n"/>
      <c r="J69" s="28">
        <f>IF($D69="","",N(G69)+N(H69)-N(I69))</f>
        <v/>
      </c>
      <c r="K69" s="27" t="n"/>
      <c r="L69" s="28">
        <f>IF($D69="","",N(J69)-N(K69))</f>
        <v/>
      </c>
    </row>
    <row r="70">
      <c r="A70" s="38" t="n"/>
      <c r="B70" s="12" t="n"/>
      <c r="C70" s="12" t="n"/>
      <c r="D70" s="12" t="n"/>
      <c r="E70" s="43" t="n"/>
      <c r="F70" s="28">
        <f>IF($D70="","",IFERROR(VLOOKUP($D70,'Products &amp; Pricing'!$A$14:$D$28,4,FALSE),""))</f>
        <v/>
      </c>
      <c r="G70" s="28">
        <f>IF($D70="","",N(E70)*N(F70))</f>
        <v/>
      </c>
      <c r="H70" s="27" t="n"/>
      <c r="I70" s="27" t="n"/>
      <c r="J70" s="28">
        <f>IF($D70="","",N(G70)+N(H70)-N(I70))</f>
        <v/>
      </c>
      <c r="K70" s="27" t="n"/>
      <c r="L70" s="28">
        <f>IF($D70="","",N(J70)-N(K70))</f>
        <v/>
      </c>
    </row>
    <row r="71">
      <c r="A71" s="38" t="n"/>
      <c r="B71" s="12" t="n"/>
      <c r="C71" s="12" t="n"/>
      <c r="D71" s="12" t="n"/>
      <c r="E71" s="43" t="n"/>
      <c r="F71" s="28">
        <f>IF($D71="","",IFERROR(VLOOKUP($D71,'Products &amp; Pricing'!$A$14:$D$28,4,FALSE),""))</f>
        <v/>
      </c>
      <c r="G71" s="28">
        <f>IF($D71="","",N(E71)*N(F71))</f>
        <v/>
      </c>
      <c r="H71" s="27" t="n"/>
      <c r="I71" s="27" t="n"/>
      <c r="J71" s="28">
        <f>IF($D71="","",N(G71)+N(H71)-N(I71))</f>
        <v/>
      </c>
      <c r="K71" s="27" t="n"/>
      <c r="L71" s="28">
        <f>IF($D71="","",N(J71)-N(K71))</f>
        <v/>
      </c>
    </row>
    <row r="72">
      <c r="A72" s="38" t="n"/>
      <c r="B72" s="12" t="n"/>
      <c r="C72" s="12" t="n"/>
      <c r="D72" s="12" t="n"/>
      <c r="E72" s="43" t="n"/>
      <c r="F72" s="28">
        <f>IF($D72="","",IFERROR(VLOOKUP($D72,'Products &amp; Pricing'!$A$14:$D$28,4,FALSE),""))</f>
        <v/>
      </c>
      <c r="G72" s="28">
        <f>IF($D72="","",N(E72)*N(F72))</f>
        <v/>
      </c>
      <c r="H72" s="27" t="n"/>
      <c r="I72" s="27" t="n"/>
      <c r="J72" s="28">
        <f>IF($D72="","",N(G72)+N(H72)-N(I72))</f>
        <v/>
      </c>
      <c r="K72" s="27" t="n"/>
      <c r="L72" s="28">
        <f>IF($D72="","",N(J72)-N(K72))</f>
        <v/>
      </c>
    </row>
    <row r="73">
      <c r="A73" s="38" t="n"/>
      <c r="B73" s="12" t="n"/>
      <c r="C73" s="12" t="n"/>
      <c r="D73" s="12" t="n"/>
      <c r="E73" s="43" t="n"/>
      <c r="F73" s="28">
        <f>IF($D73="","",IFERROR(VLOOKUP($D73,'Products &amp; Pricing'!$A$14:$D$28,4,FALSE),""))</f>
        <v/>
      </c>
      <c r="G73" s="28">
        <f>IF($D73="","",N(E73)*N(F73))</f>
        <v/>
      </c>
      <c r="H73" s="27" t="n"/>
      <c r="I73" s="27" t="n"/>
      <c r="J73" s="28">
        <f>IF($D73="","",N(G73)+N(H73)-N(I73))</f>
        <v/>
      </c>
      <c r="K73" s="27" t="n"/>
      <c r="L73" s="28">
        <f>IF($D73="","",N(J73)-N(K73))</f>
        <v/>
      </c>
    </row>
    <row r="74">
      <c r="A74" s="38" t="n"/>
      <c r="B74" s="12" t="n"/>
      <c r="C74" s="12" t="n"/>
      <c r="D74" s="12" t="n"/>
      <c r="E74" s="43" t="n"/>
      <c r="F74" s="28">
        <f>IF($D74="","",IFERROR(VLOOKUP($D74,'Products &amp; Pricing'!$A$14:$D$28,4,FALSE),""))</f>
        <v/>
      </c>
      <c r="G74" s="28">
        <f>IF($D74="","",N(E74)*N(F74))</f>
        <v/>
      </c>
      <c r="H74" s="27" t="n"/>
      <c r="I74" s="27" t="n"/>
      <c r="J74" s="28">
        <f>IF($D74="","",N(G74)+N(H74)-N(I74))</f>
        <v/>
      </c>
      <c r="K74" s="27" t="n"/>
      <c r="L74" s="28">
        <f>IF($D74="","",N(J74)-N(K74))</f>
        <v/>
      </c>
    </row>
    <row r="75">
      <c r="A75" s="38" t="n"/>
      <c r="B75" s="12" t="n"/>
      <c r="C75" s="12" t="n"/>
      <c r="D75" s="12" t="n"/>
      <c r="E75" s="43" t="n"/>
      <c r="F75" s="28">
        <f>IF($D75="","",IFERROR(VLOOKUP($D75,'Products &amp; Pricing'!$A$14:$D$28,4,FALSE),""))</f>
        <v/>
      </c>
      <c r="G75" s="28">
        <f>IF($D75="","",N(E75)*N(F75))</f>
        <v/>
      </c>
      <c r="H75" s="27" t="n"/>
      <c r="I75" s="27" t="n"/>
      <c r="J75" s="28">
        <f>IF($D75="","",N(G75)+N(H75)-N(I75))</f>
        <v/>
      </c>
      <c r="K75" s="27" t="n"/>
      <c r="L75" s="28">
        <f>IF($D75="","",N(J75)-N(K75))</f>
        <v/>
      </c>
    </row>
    <row r="76">
      <c r="A76" s="38" t="n"/>
      <c r="B76" s="12" t="n"/>
      <c r="C76" s="12" t="n"/>
      <c r="D76" s="12" t="n"/>
      <c r="E76" s="43" t="n"/>
      <c r="F76" s="28">
        <f>IF($D76="","",IFERROR(VLOOKUP($D76,'Products &amp; Pricing'!$A$14:$D$28,4,FALSE),""))</f>
        <v/>
      </c>
      <c r="G76" s="28">
        <f>IF($D76="","",N(E76)*N(F76))</f>
        <v/>
      </c>
      <c r="H76" s="27" t="n"/>
      <c r="I76" s="27" t="n"/>
      <c r="J76" s="28">
        <f>IF($D76="","",N(G76)+N(H76)-N(I76))</f>
        <v/>
      </c>
      <c r="K76" s="27" t="n"/>
      <c r="L76" s="28">
        <f>IF($D76="","",N(J76)-N(K76))</f>
        <v/>
      </c>
    </row>
    <row r="77">
      <c r="A77" s="38" t="n"/>
      <c r="B77" s="12" t="n"/>
      <c r="C77" s="12" t="n"/>
      <c r="D77" s="12" t="n"/>
      <c r="E77" s="43" t="n"/>
      <c r="F77" s="28">
        <f>IF($D77="","",IFERROR(VLOOKUP($D77,'Products &amp; Pricing'!$A$14:$D$28,4,FALSE),""))</f>
        <v/>
      </c>
      <c r="G77" s="28">
        <f>IF($D77="","",N(E77)*N(F77))</f>
        <v/>
      </c>
      <c r="H77" s="27" t="n"/>
      <c r="I77" s="27" t="n"/>
      <c r="J77" s="28">
        <f>IF($D77="","",N(G77)+N(H77)-N(I77))</f>
        <v/>
      </c>
      <c r="K77" s="27" t="n"/>
      <c r="L77" s="28">
        <f>IF($D77="","",N(J77)-N(K77))</f>
        <v/>
      </c>
    </row>
    <row r="78">
      <c r="A78" s="38" t="n"/>
      <c r="B78" s="12" t="n"/>
      <c r="C78" s="12" t="n"/>
      <c r="D78" s="12" t="n"/>
      <c r="E78" s="43" t="n"/>
      <c r="F78" s="28">
        <f>IF($D78="","",IFERROR(VLOOKUP($D78,'Products &amp; Pricing'!$A$14:$D$28,4,FALSE),""))</f>
        <v/>
      </c>
      <c r="G78" s="28">
        <f>IF($D78="","",N(E78)*N(F78))</f>
        <v/>
      </c>
      <c r="H78" s="27" t="n"/>
      <c r="I78" s="27" t="n"/>
      <c r="J78" s="28">
        <f>IF($D78="","",N(G78)+N(H78)-N(I78))</f>
        <v/>
      </c>
      <c r="K78" s="27" t="n"/>
      <c r="L78" s="28">
        <f>IF($D78="","",N(J78)-N(K78))</f>
        <v/>
      </c>
    </row>
    <row r="79">
      <c r="A79" s="38" t="n"/>
      <c r="B79" s="12" t="n"/>
      <c r="C79" s="12" t="n"/>
      <c r="D79" s="12" t="n"/>
      <c r="E79" s="43" t="n"/>
      <c r="F79" s="28">
        <f>IF($D79="","",IFERROR(VLOOKUP($D79,'Products &amp; Pricing'!$A$14:$D$28,4,FALSE),""))</f>
        <v/>
      </c>
      <c r="G79" s="28">
        <f>IF($D79="","",N(E79)*N(F79))</f>
        <v/>
      </c>
      <c r="H79" s="27" t="n"/>
      <c r="I79" s="27" t="n"/>
      <c r="J79" s="28">
        <f>IF($D79="","",N(G79)+N(H79)-N(I79))</f>
        <v/>
      </c>
      <c r="K79" s="27" t="n"/>
      <c r="L79" s="28">
        <f>IF($D79="","",N(J79)-N(K79))</f>
        <v/>
      </c>
    </row>
    <row r="80">
      <c r="A80" s="38" t="n"/>
      <c r="B80" s="12" t="n"/>
      <c r="C80" s="12" t="n"/>
      <c r="D80" s="12" t="n"/>
      <c r="E80" s="43" t="n"/>
      <c r="F80" s="28">
        <f>IF($D80="","",IFERROR(VLOOKUP($D80,'Products &amp; Pricing'!$A$14:$D$28,4,FALSE),""))</f>
        <v/>
      </c>
      <c r="G80" s="28">
        <f>IF($D80="","",N(E80)*N(F80))</f>
        <v/>
      </c>
      <c r="H80" s="27" t="n"/>
      <c r="I80" s="27" t="n"/>
      <c r="J80" s="28">
        <f>IF($D80="","",N(G80)+N(H80)-N(I80))</f>
        <v/>
      </c>
      <c r="K80" s="27" t="n"/>
      <c r="L80" s="28">
        <f>IF($D80="","",N(J80)-N(K80))</f>
        <v/>
      </c>
    </row>
    <row r="81">
      <c r="A81" s="38" t="n"/>
      <c r="B81" s="12" t="n"/>
      <c r="C81" s="12" t="n"/>
      <c r="D81" s="12" t="n"/>
      <c r="E81" s="43" t="n"/>
      <c r="F81" s="28">
        <f>IF($D81="","",IFERROR(VLOOKUP($D81,'Products &amp; Pricing'!$A$14:$D$28,4,FALSE),""))</f>
        <v/>
      </c>
      <c r="G81" s="28">
        <f>IF($D81="","",N(E81)*N(F81))</f>
        <v/>
      </c>
      <c r="H81" s="27" t="n"/>
      <c r="I81" s="27" t="n"/>
      <c r="J81" s="28">
        <f>IF($D81="","",N(G81)+N(H81)-N(I81))</f>
        <v/>
      </c>
      <c r="K81" s="27" t="n"/>
      <c r="L81" s="28">
        <f>IF($D81="","",N(J81)-N(K81))</f>
        <v/>
      </c>
    </row>
    <row r="82">
      <c r="A82" s="38" t="n"/>
      <c r="B82" s="12" t="n"/>
      <c r="C82" s="12" t="n"/>
      <c r="D82" s="12" t="n"/>
      <c r="E82" s="43" t="n"/>
      <c r="F82" s="28">
        <f>IF($D82="","",IFERROR(VLOOKUP($D82,'Products &amp; Pricing'!$A$14:$D$28,4,FALSE),""))</f>
        <v/>
      </c>
      <c r="G82" s="28">
        <f>IF($D82="","",N(E82)*N(F82))</f>
        <v/>
      </c>
      <c r="H82" s="27" t="n"/>
      <c r="I82" s="27" t="n"/>
      <c r="J82" s="28">
        <f>IF($D82="","",N(G82)+N(H82)-N(I82))</f>
        <v/>
      </c>
      <c r="K82" s="27" t="n"/>
      <c r="L82" s="28">
        <f>IF($D82="","",N(J82)-N(K82))</f>
        <v/>
      </c>
    </row>
    <row r="83">
      <c r="A83" s="38" t="n"/>
      <c r="B83" s="12" t="n"/>
      <c r="C83" s="12" t="n"/>
      <c r="D83" s="12" t="n"/>
      <c r="E83" s="43" t="n"/>
      <c r="F83" s="28">
        <f>IF($D83="","",IFERROR(VLOOKUP($D83,'Products &amp; Pricing'!$A$14:$D$28,4,FALSE),""))</f>
        <v/>
      </c>
      <c r="G83" s="28">
        <f>IF($D83="","",N(E83)*N(F83))</f>
        <v/>
      </c>
      <c r="H83" s="27" t="n"/>
      <c r="I83" s="27" t="n"/>
      <c r="J83" s="28">
        <f>IF($D83="","",N(G83)+N(H83)-N(I83))</f>
        <v/>
      </c>
      <c r="K83" s="27" t="n"/>
      <c r="L83" s="28">
        <f>IF($D83="","",N(J83)-N(K83))</f>
        <v/>
      </c>
    </row>
    <row r="84">
      <c r="A84" s="38" t="n"/>
      <c r="B84" s="12" t="n"/>
      <c r="C84" s="12" t="n"/>
      <c r="D84" s="12" t="n"/>
      <c r="E84" s="43" t="n"/>
      <c r="F84" s="28">
        <f>IF($D84="","",IFERROR(VLOOKUP($D84,'Products &amp; Pricing'!$A$14:$D$28,4,FALSE),""))</f>
        <v/>
      </c>
      <c r="G84" s="28">
        <f>IF($D84="","",N(E84)*N(F84))</f>
        <v/>
      </c>
      <c r="H84" s="27" t="n"/>
      <c r="I84" s="27" t="n"/>
      <c r="J84" s="28">
        <f>IF($D84="","",N(G84)+N(H84)-N(I84))</f>
        <v/>
      </c>
      <c r="K84" s="27" t="n"/>
      <c r="L84" s="28">
        <f>IF($D84="","",N(J84)-N(K84))</f>
        <v/>
      </c>
    </row>
    <row r="85">
      <c r="A85" s="38" t="n"/>
      <c r="B85" s="12" t="n"/>
      <c r="C85" s="12" t="n"/>
      <c r="D85" s="12" t="n"/>
      <c r="E85" s="43" t="n"/>
      <c r="F85" s="28">
        <f>IF($D85="","",IFERROR(VLOOKUP($D85,'Products &amp; Pricing'!$A$14:$D$28,4,FALSE),""))</f>
        <v/>
      </c>
      <c r="G85" s="28">
        <f>IF($D85="","",N(E85)*N(F85))</f>
        <v/>
      </c>
      <c r="H85" s="27" t="n"/>
      <c r="I85" s="27" t="n"/>
      <c r="J85" s="28">
        <f>IF($D85="","",N(G85)+N(H85)-N(I85))</f>
        <v/>
      </c>
      <c r="K85" s="27" t="n"/>
      <c r="L85" s="28">
        <f>IF($D85="","",N(J85)-N(K85))</f>
        <v/>
      </c>
    </row>
    <row r="86">
      <c r="A86" s="38" t="n"/>
      <c r="B86" s="12" t="n"/>
      <c r="C86" s="12" t="n"/>
      <c r="D86" s="12" t="n"/>
      <c r="E86" s="43" t="n"/>
      <c r="F86" s="28">
        <f>IF($D86="","",IFERROR(VLOOKUP($D86,'Products &amp; Pricing'!$A$14:$D$28,4,FALSE),""))</f>
        <v/>
      </c>
      <c r="G86" s="28">
        <f>IF($D86="","",N(E86)*N(F86))</f>
        <v/>
      </c>
      <c r="H86" s="27" t="n"/>
      <c r="I86" s="27" t="n"/>
      <c r="J86" s="28">
        <f>IF($D86="","",N(G86)+N(H86)-N(I86))</f>
        <v/>
      </c>
      <c r="K86" s="27" t="n"/>
      <c r="L86" s="28">
        <f>IF($D86="","",N(J86)-N(K86))</f>
        <v/>
      </c>
    </row>
    <row r="87">
      <c r="A87" s="38" t="n"/>
      <c r="B87" s="12" t="n"/>
      <c r="C87" s="12" t="n"/>
      <c r="D87" s="12" t="n"/>
      <c r="E87" s="43" t="n"/>
      <c r="F87" s="28">
        <f>IF($D87="","",IFERROR(VLOOKUP($D87,'Products &amp; Pricing'!$A$14:$D$28,4,FALSE),""))</f>
        <v/>
      </c>
      <c r="G87" s="28">
        <f>IF($D87="","",N(E87)*N(F87))</f>
        <v/>
      </c>
      <c r="H87" s="27" t="n"/>
      <c r="I87" s="27" t="n"/>
      <c r="J87" s="28">
        <f>IF($D87="","",N(G87)+N(H87)-N(I87))</f>
        <v/>
      </c>
      <c r="K87" s="27" t="n"/>
      <c r="L87" s="28">
        <f>IF($D87="","",N(J87)-N(K87))</f>
        <v/>
      </c>
    </row>
    <row r="88">
      <c r="A88" s="38" t="n"/>
      <c r="B88" s="12" t="n"/>
      <c r="C88" s="12" t="n"/>
      <c r="D88" s="12" t="n"/>
      <c r="E88" s="43" t="n"/>
      <c r="F88" s="28">
        <f>IF($D88="","",IFERROR(VLOOKUP($D88,'Products &amp; Pricing'!$A$14:$D$28,4,FALSE),""))</f>
        <v/>
      </c>
      <c r="G88" s="28">
        <f>IF($D88="","",N(E88)*N(F88))</f>
        <v/>
      </c>
      <c r="H88" s="27" t="n"/>
      <c r="I88" s="27" t="n"/>
      <c r="J88" s="28">
        <f>IF($D88="","",N(G88)+N(H88)-N(I88))</f>
        <v/>
      </c>
      <c r="K88" s="27" t="n"/>
      <c r="L88" s="28">
        <f>IF($D88="","",N(J88)-N(K88))</f>
        <v/>
      </c>
    </row>
    <row r="89">
      <c r="A89" s="38" t="n"/>
      <c r="B89" s="12" t="n"/>
      <c r="C89" s="12" t="n"/>
      <c r="D89" s="12" t="n"/>
      <c r="E89" s="43" t="n"/>
      <c r="F89" s="28">
        <f>IF($D89="","",IFERROR(VLOOKUP($D89,'Products &amp; Pricing'!$A$14:$D$28,4,FALSE),""))</f>
        <v/>
      </c>
      <c r="G89" s="28">
        <f>IF($D89="","",N(E89)*N(F89))</f>
        <v/>
      </c>
      <c r="H89" s="27" t="n"/>
      <c r="I89" s="27" t="n"/>
      <c r="J89" s="28">
        <f>IF($D89="","",N(G89)+N(H89)-N(I89))</f>
        <v/>
      </c>
      <c r="K89" s="27" t="n"/>
      <c r="L89" s="28">
        <f>IF($D89="","",N(J89)-N(K89))</f>
        <v/>
      </c>
    </row>
    <row r="90">
      <c r="A90" s="38" t="n"/>
      <c r="B90" s="12" t="n"/>
      <c r="C90" s="12" t="n"/>
      <c r="D90" s="12" t="n"/>
      <c r="E90" s="43" t="n"/>
      <c r="F90" s="28">
        <f>IF($D90="","",IFERROR(VLOOKUP($D90,'Products &amp; Pricing'!$A$14:$D$28,4,FALSE),""))</f>
        <v/>
      </c>
      <c r="G90" s="28">
        <f>IF($D90="","",N(E90)*N(F90))</f>
        <v/>
      </c>
      <c r="H90" s="27" t="n"/>
      <c r="I90" s="27" t="n"/>
      <c r="J90" s="28">
        <f>IF($D90="","",N(G90)+N(H90)-N(I90))</f>
        <v/>
      </c>
      <c r="K90" s="27" t="n"/>
      <c r="L90" s="28">
        <f>IF($D90="","",N(J90)-N(K90))</f>
        <v/>
      </c>
    </row>
    <row r="91">
      <c r="A91" s="38" t="n"/>
      <c r="B91" s="12" t="n"/>
      <c r="C91" s="12" t="n"/>
      <c r="D91" s="12" t="n"/>
      <c r="E91" s="43" t="n"/>
      <c r="F91" s="28">
        <f>IF($D91="","",IFERROR(VLOOKUP($D91,'Products &amp; Pricing'!$A$14:$D$28,4,FALSE),""))</f>
        <v/>
      </c>
      <c r="G91" s="28">
        <f>IF($D91="","",N(E91)*N(F91))</f>
        <v/>
      </c>
      <c r="H91" s="27" t="n"/>
      <c r="I91" s="27" t="n"/>
      <c r="J91" s="28">
        <f>IF($D91="","",N(G91)+N(H91)-N(I91))</f>
        <v/>
      </c>
      <c r="K91" s="27" t="n"/>
      <c r="L91" s="28">
        <f>IF($D91="","",N(J91)-N(K91))</f>
        <v/>
      </c>
    </row>
    <row r="92">
      <c r="A92" s="38" t="n"/>
      <c r="B92" s="12" t="n"/>
      <c r="C92" s="12" t="n"/>
      <c r="D92" s="12" t="n"/>
      <c r="E92" s="43" t="n"/>
      <c r="F92" s="28">
        <f>IF($D92="","",IFERROR(VLOOKUP($D92,'Products &amp; Pricing'!$A$14:$D$28,4,FALSE),""))</f>
        <v/>
      </c>
      <c r="G92" s="28">
        <f>IF($D92="","",N(E92)*N(F92))</f>
        <v/>
      </c>
      <c r="H92" s="27" t="n"/>
      <c r="I92" s="27" t="n"/>
      <c r="J92" s="28">
        <f>IF($D92="","",N(G92)+N(H92)-N(I92))</f>
        <v/>
      </c>
      <c r="K92" s="27" t="n"/>
      <c r="L92" s="28">
        <f>IF($D92="","",N(J92)-N(K92))</f>
        <v/>
      </c>
    </row>
    <row r="93">
      <c r="A93" s="38" t="n"/>
      <c r="B93" s="12" t="n"/>
      <c r="C93" s="12" t="n"/>
      <c r="D93" s="12" t="n"/>
      <c r="E93" s="43" t="n"/>
      <c r="F93" s="28">
        <f>IF($D93="","",IFERROR(VLOOKUP($D93,'Products &amp; Pricing'!$A$14:$D$28,4,FALSE),""))</f>
        <v/>
      </c>
      <c r="G93" s="28">
        <f>IF($D93="","",N(E93)*N(F93))</f>
        <v/>
      </c>
      <c r="H93" s="27" t="n"/>
      <c r="I93" s="27" t="n"/>
      <c r="J93" s="28">
        <f>IF($D93="","",N(G93)+N(H93)-N(I93))</f>
        <v/>
      </c>
      <c r="K93" s="27" t="n"/>
      <c r="L93" s="28">
        <f>IF($D93="","",N(J93)-N(K93))</f>
        <v/>
      </c>
    </row>
    <row r="94">
      <c r="A94" s="38" t="n"/>
      <c r="B94" s="12" t="n"/>
      <c r="C94" s="12" t="n"/>
      <c r="D94" s="12" t="n"/>
      <c r="E94" s="43" t="n"/>
      <c r="F94" s="28">
        <f>IF($D94="","",IFERROR(VLOOKUP($D94,'Products &amp; Pricing'!$A$14:$D$28,4,FALSE),""))</f>
        <v/>
      </c>
      <c r="G94" s="28">
        <f>IF($D94="","",N(E94)*N(F94))</f>
        <v/>
      </c>
      <c r="H94" s="27" t="n"/>
      <c r="I94" s="27" t="n"/>
      <c r="J94" s="28">
        <f>IF($D94="","",N(G94)+N(H94)-N(I94))</f>
        <v/>
      </c>
      <c r="K94" s="27" t="n"/>
      <c r="L94" s="28">
        <f>IF($D94="","",N(J94)-N(K94))</f>
        <v/>
      </c>
    </row>
    <row r="95">
      <c r="A95" s="38" t="n"/>
      <c r="B95" s="12" t="n"/>
      <c r="C95" s="12" t="n"/>
      <c r="D95" s="12" t="n"/>
      <c r="E95" s="43" t="n"/>
      <c r="F95" s="28">
        <f>IF($D95="","",IFERROR(VLOOKUP($D95,'Products &amp; Pricing'!$A$14:$D$28,4,FALSE),""))</f>
        <v/>
      </c>
      <c r="G95" s="28">
        <f>IF($D95="","",N(E95)*N(F95))</f>
        <v/>
      </c>
      <c r="H95" s="27" t="n"/>
      <c r="I95" s="27" t="n"/>
      <c r="J95" s="28">
        <f>IF($D95="","",N(G95)+N(H95)-N(I95))</f>
        <v/>
      </c>
      <c r="K95" s="27" t="n"/>
      <c r="L95" s="28">
        <f>IF($D95="","",N(J95)-N(K95))</f>
        <v/>
      </c>
    </row>
    <row r="96">
      <c r="A96" s="38" t="n"/>
      <c r="B96" s="12" t="n"/>
      <c r="C96" s="12" t="n"/>
      <c r="D96" s="12" t="n"/>
      <c r="E96" s="43" t="n"/>
      <c r="F96" s="28">
        <f>IF($D96="","",IFERROR(VLOOKUP($D96,'Products &amp; Pricing'!$A$14:$D$28,4,FALSE),""))</f>
        <v/>
      </c>
      <c r="G96" s="28">
        <f>IF($D96="","",N(E96)*N(F96))</f>
        <v/>
      </c>
      <c r="H96" s="27" t="n"/>
      <c r="I96" s="27" t="n"/>
      <c r="J96" s="28">
        <f>IF($D96="","",N(G96)+N(H96)-N(I96))</f>
        <v/>
      </c>
      <c r="K96" s="27" t="n"/>
      <c r="L96" s="28">
        <f>IF($D96="","",N(J96)-N(K96))</f>
        <v/>
      </c>
    </row>
    <row r="97">
      <c r="A97" s="38" t="n"/>
      <c r="B97" s="12" t="n"/>
      <c r="C97" s="12" t="n"/>
      <c r="D97" s="12" t="n"/>
      <c r="E97" s="43" t="n"/>
      <c r="F97" s="28">
        <f>IF($D97="","",IFERROR(VLOOKUP($D97,'Products &amp; Pricing'!$A$14:$D$28,4,FALSE),""))</f>
        <v/>
      </c>
      <c r="G97" s="28">
        <f>IF($D97="","",N(E97)*N(F97))</f>
        <v/>
      </c>
      <c r="H97" s="27" t="n"/>
      <c r="I97" s="27" t="n"/>
      <c r="J97" s="28">
        <f>IF($D97="","",N(G97)+N(H97)-N(I97))</f>
        <v/>
      </c>
      <c r="K97" s="27" t="n"/>
      <c r="L97" s="28">
        <f>IF($D97="","",N(J97)-N(K97))</f>
        <v/>
      </c>
    </row>
    <row r="98">
      <c r="A98" s="38" t="n"/>
      <c r="B98" s="12" t="n"/>
      <c r="C98" s="12" t="n"/>
      <c r="D98" s="12" t="n"/>
      <c r="E98" s="43" t="n"/>
      <c r="F98" s="28">
        <f>IF($D98="","",IFERROR(VLOOKUP($D98,'Products &amp; Pricing'!$A$14:$D$28,4,FALSE),""))</f>
        <v/>
      </c>
      <c r="G98" s="28">
        <f>IF($D98="","",N(E98)*N(F98))</f>
        <v/>
      </c>
      <c r="H98" s="27" t="n"/>
      <c r="I98" s="27" t="n"/>
      <c r="J98" s="28">
        <f>IF($D98="","",N(G98)+N(H98)-N(I98))</f>
        <v/>
      </c>
      <c r="K98" s="27" t="n"/>
      <c r="L98" s="28">
        <f>IF($D98="","",N(J98)-N(K98))</f>
        <v/>
      </c>
    </row>
    <row r="99">
      <c r="A99" s="38" t="n"/>
      <c r="B99" s="12" t="n"/>
      <c r="C99" s="12" t="n"/>
      <c r="D99" s="12" t="n"/>
      <c r="E99" s="43" t="n"/>
      <c r="F99" s="28">
        <f>IF($D99="","",IFERROR(VLOOKUP($D99,'Products &amp; Pricing'!$A$14:$D$28,4,FALSE),""))</f>
        <v/>
      </c>
      <c r="G99" s="28">
        <f>IF($D99="","",N(E99)*N(F99))</f>
        <v/>
      </c>
      <c r="H99" s="27" t="n"/>
      <c r="I99" s="27" t="n"/>
      <c r="J99" s="28">
        <f>IF($D99="","",N(G99)+N(H99)-N(I99))</f>
        <v/>
      </c>
      <c r="K99" s="27" t="n"/>
      <c r="L99" s="28">
        <f>IF($D99="","",N(J99)-N(K99))</f>
        <v/>
      </c>
    </row>
    <row r="100">
      <c r="A100" s="38" t="n"/>
      <c r="B100" s="12" t="n"/>
      <c r="C100" s="12" t="n"/>
      <c r="D100" s="12" t="n"/>
      <c r="E100" s="43" t="n"/>
      <c r="F100" s="28">
        <f>IF($D100="","",IFERROR(VLOOKUP($D100,'Products &amp; Pricing'!$A$14:$D$28,4,FALSE),""))</f>
        <v/>
      </c>
      <c r="G100" s="28">
        <f>IF($D100="","",N(E100)*N(F100))</f>
        <v/>
      </c>
      <c r="H100" s="27" t="n"/>
      <c r="I100" s="27" t="n"/>
      <c r="J100" s="28">
        <f>IF($D100="","",N(G100)+N(H100)-N(I100))</f>
        <v/>
      </c>
      <c r="K100" s="27" t="n"/>
      <c r="L100" s="28">
        <f>IF($D100="","",N(J100)-N(K100))</f>
        <v/>
      </c>
    </row>
    <row r="101">
      <c r="A101" s="38" t="n"/>
      <c r="B101" s="12" t="n"/>
      <c r="C101" s="12" t="n"/>
      <c r="D101" s="12" t="n"/>
      <c r="E101" s="43" t="n"/>
      <c r="F101" s="28">
        <f>IF($D101="","",IFERROR(VLOOKUP($D101,'Products &amp; Pricing'!$A$14:$D$28,4,FALSE),""))</f>
        <v/>
      </c>
      <c r="G101" s="28">
        <f>IF($D101="","",N(E101)*N(F101))</f>
        <v/>
      </c>
      <c r="H101" s="27" t="n"/>
      <c r="I101" s="27" t="n"/>
      <c r="J101" s="28">
        <f>IF($D101="","",N(G101)+N(H101)-N(I101))</f>
        <v/>
      </c>
      <c r="K101" s="27" t="n"/>
      <c r="L101" s="28">
        <f>IF($D101="","",N(J101)-N(K101))</f>
        <v/>
      </c>
    </row>
    <row r="102">
      <c r="A102" s="38" t="n"/>
      <c r="B102" s="12" t="n"/>
      <c r="C102" s="12" t="n"/>
      <c r="D102" s="12" t="n"/>
      <c r="E102" s="43" t="n"/>
      <c r="F102" s="28">
        <f>IF($D102="","",IFERROR(VLOOKUP($D102,'Products &amp; Pricing'!$A$14:$D$28,4,FALSE),""))</f>
        <v/>
      </c>
      <c r="G102" s="28">
        <f>IF($D102="","",N(E102)*N(F102))</f>
        <v/>
      </c>
      <c r="H102" s="27" t="n"/>
      <c r="I102" s="27" t="n"/>
      <c r="J102" s="28">
        <f>IF($D102="","",N(G102)+N(H102)-N(I102))</f>
        <v/>
      </c>
      <c r="K102" s="27" t="n"/>
      <c r="L102" s="28">
        <f>IF($D102="","",N(J102)-N(K102))</f>
        <v/>
      </c>
    </row>
    <row r="103">
      <c r="A103" s="38" t="n"/>
      <c r="B103" s="12" t="n"/>
      <c r="C103" s="12" t="n"/>
      <c r="D103" s="12" t="n"/>
      <c r="E103" s="43" t="n"/>
      <c r="F103" s="28">
        <f>IF($D103="","",IFERROR(VLOOKUP($D103,'Products &amp; Pricing'!$A$14:$D$28,4,FALSE),""))</f>
        <v/>
      </c>
      <c r="G103" s="28">
        <f>IF($D103="","",N(E103)*N(F103))</f>
        <v/>
      </c>
      <c r="H103" s="27" t="n"/>
      <c r="I103" s="27" t="n"/>
      <c r="J103" s="28">
        <f>IF($D103="","",N(G103)+N(H103)-N(I103))</f>
        <v/>
      </c>
      <c r="K103" s="27" t="n"/>
      <c r="L103" s="28">
        <f>IF($D103="","",N(J103)-N(K103))</f>
        <v/>
      </c>
    </row>
    <row r="104">
      <c r="A104" s="38" t="n"/>
      <c r="B104" s="12" t="n"/>
      <c r="C104" s="12" t="n"/>
      <c r="D104" s="12" t="n"/>
      <c r="E104" s="43" t="n"/>
      <c r="F104" s="28">
        <f>IF($D104="","",IFERROR(VLOOKUP($D104,'Products &amp; Pricing'!$A$14:$D$28,4,FALSE),""))</f>
        <v/>
      </c>
      <c r="G104" s="28">
        <f>IF($D104="","",N(E104)*N(F104))</f>
        <v/>
      </c>
      <c r="H104" s="27" t="n"/>
      <c r="I104" s="27" t="n"/>
      <c r="J104" s="28">
        <f>IF($D104="","",N(G104)+N(H104)-N(I104))</f>
        <v/>
      </c>
      <c r="K104" s="27" t="n"/>
      <c r="L104" s="28">
        <f>IF($D104="","",N(J104)-N(K104))</f>
        <v/>
      </c>
    </row>
    <row r="105">
      <c r="A105" s="38" t="n"/>
      <c r="B105" s="12" t="n"/>
      <c r="C105" s="12" t="n"/>
      <c r="D105" s="12" t="n"/>
      <c r="E105" s="43" t="n"/>
      <c r="F105" s="28">
        <f>IF($D105="","",IFERROR(VLOOKUP($D105,'Products &amp; Pricing'!$A$14:$D$28,4,FALSE),""))</f>
        <v/>
      </c>
      <c r="G105" s="28">
        <f>IF($D105="","",N(E105)*N(F105))</f>
        <v/>
      </c>
      <c r="H105" s="27" t="n"/>
      <c r="I105" s="27" t="n"/>
      <c r="J105" s="28">
        <f>IF($D105="","",N(G105)+N(H105)-N(I105))</f>
        <v/>
      </c>
      <c r="K105" s="27" t="n"/>
      <c r="L105" s="28">
        <f>IF($D105="","",N(J105)-N(K105))</f>
        <v/>
      </c>
    </row>
    <row r="106">
      <c r="A106" s="38" t="n"/>
      <c r="B106" s="12" t="n"/>
      <c r="C106" s="12" t="n"/>
      <c r="D106" s="12" t="n"/>
      <c r="E106" s="43" t="n"/>
      <c r="F106" s="28">
        <f>IF($D106="","",IFERROR(VLOOKUP($D106,'Products &amp; Pricing'!$A$14:$D$28,4,FALSE),""))</f>
        <v/>
      </c>
      <c r="G106" s="28">
        <f>IF($D106="","",N(E106)*N(F106))</f>
        <v/>
      </c>
      <c r="H106" s="27" t="n"/>
      <c r="I106" s="27" t="n"/>
      <c r="J106" s="28">
        <f>IF($D106="","",N(G106)+N(H106)-N(I106))</f>
        <v/>
      </c>
      <c r="K106" s="27" t="n"/>
      <c r="L106" s="28">
        <f>IF($D106="","",N(J106)-N(K106))</f>
        <v/>
      </c>
    </row>
    <row r="107">
      <c r="A107" s="38" t="n"/>
      <c r="B107" s="12" t="n"/>
      <c r="C107" s="12" t="n"/>
      <c r="D107" s="12" t="n"/>
      <c r="E107" s="43" t="n"/>
      <c r="F107" s="28">
        <f>IF($D107="","",IFERROR(VLOOKUP($D107,'Products &amp; Pricing'!$A$14:$D$28,4,FALSE),""))</f>
        <v/>
      </c>
      <c r="G107" s="28">
        <f>IF($D107="","",N(E107)*N(F107))</f>
        <v/>
      </c>
      <c r="H107" s="27" t="n"/>
      <c r="I107" s="27" t="n"/>
      <c r="J107" s="28">
        <f>IF($D107="","",N(G107)+N(H107)-N(I107))</f>
        <v/>
      </c>
      <c r="K107" s="27" t="n"/>
      <c r="L107" s="28">
        <f>IF($D107="","",N(J107)-N(K107))</f>
        <v/>
      </c>
    </row>
    <row r="108">
      <c r="A108" s="38" t="n"/>
      <c r="B108" s="12" t="n"/>
      <c r="C108" s="12" t="n"/>
      <c r="D108" s="12" t="n"/>
      <c r="E108" s="43" t="n"/>
      <c r="F108" s="28">
        <f>IF($D108="","",IFERROR(VLOOKUP($D108,'Products &amp; Pricing'!$A$14:$D$28,4,FALSE),""))</f>
        <v/>
      </c>
      <c r="G108" s="28">
        <f>IF($D108="","",N(E108)*N(F108))</f>
        <v/>
      </c>
      <c r="H108" s="27" t="n"/>
      <c r="I108" s="27" t="n"/>
      <c r="J108" s="28">
        <f>IF($D108="","",N(G108)+N(H108)-N(I108))</f>
        <v/>
      </c>
      <c r="K108" s="27" t="n"/>
      <c r="L108" s="28">
        <f>IF($D108="","",N(J108)-N(K108))</f>
        <v/>
      </c>
    </row>
    <row r="109">
      <c r="A109" s="38" t="n"/>
      <c r="B109" s="12" t="n"/>
      <c r="C109" s="12" t="n"/>
      <c r="D109" s="12" t="n"/>
      <c r="E109" s="43" t="n"/>
      <c r="F109" s="28">
        <f>IF($D109="","",IFERROR(VLOOKUP($D109,'Products &amp; Pricing'!$A$14:$D$28,4,FALSE),""))</f>
        <v/>
      </c>
      <c r="G109" s="28">
        <f>IF($D109="","",N(E109)*N(F109))</f>
        <v/>
      </c>
      <c r="H109" s="27" t="n"/>
      <c r="I109" s="27" t="n"/>
      <c r="J109" s="28">
        <f>IF($D109="","",N(G109)+N(H109)-N(I109))</f>
        <v/>
      </c>
      <c r="K109" s="27" t="n"/>
      <c r="L109" s="28">
        <f>IF($D109="","",N(J109)-N(K109))</f>
        <v/>
      </c>
    </row>
    <row r="110">
      <c r="A110" s="38" t="n"/>
      <c r="B110" s="12" t="n"/>
      <c r="C110" s="12" t="n"/>
      <c r="D110" s="12" t="n"/>
      <c r="E110" s="43" t="n"/>
      <c r="F110" s="28">
        <f>IF($D110="","",IFERROR(VLOOKUP($D110,'Products &amp; Pricing'!$A$14:$D$28,4,FALSE),""))</f>
        <v/>
      </c>
      <c r="G110" s="28">
        <f>IF($D110="","",N(E110)*N(F110))</f>
        <v/>
      </c>
      <c r="H110" s="27" t="n"/>
      <c r="I110" s="27" t="n"/>
      <c r="J110" s="28">
        <f>IF($D110="","",N(G110)+N(H110)-N(I110))</f>
        <v/>
      </c>
      <c r="K110" s="27" t="n"/>
      <c r="L110" s="28">
        <f>IF($D110="","",N(J110)-N(K110))</f>
        <v/>
      </c>
    </row>
    <row r="111">
      <c r="A111" s="38" t="n"/>
      <c r="B111" s="12" t="n"/>
      <c r="C111" s="12" t="n"/>
      <c r="D111" s="12" t="n"/>
      <c r="E111" s="43" t="n"/>
      <c r="F111" s="28">
        <f>IF($D111="","",IFERROR(VLOOKUP($D111,'Products &amp; Pricing'!$A$14:$D$28,4,FALSE),""))</f>
        <v/>
      </c>
      <c r="G111" s="28">
        <f>IF($D111="","",N(E111)*N(F111))</f>
        <v/>
      </c>
      <c r="H111" s="27" t="n"/>
      <c r="I111" s="27" t="n"/>
      <c r="J111" s="28">
        <f>IF($D111="","",N(G111)+N(H111)-N(I111))</f>
        <v/>
      </c>
      <c r="K111" s="27" t="n"/>
      <c r="L111" s="28">
        <f>IF($D111="","",N(J111)-N(K111))</f>
        <v/>
      </c>
    </row>
    <row r="112">
      <c r="A112" s="38" t="n"/>
      <c r="B112" s="12" t="n"/>
      <c r="C112" s="12" t="n"/>
      <c r="D112" s="12" t="n"/>
      <c r="E112" s="43" t="n"/>
      <c r="F112" s="28">
        <f>IF($D112="","",IFERROR(VLOOKUP($D112,'Products &amp; Pricing'!$A$14:$D$28,4,FALSE),""))</f>
        <v/>
      </c>
      <c r="G112" s="28">
        <f>IF($D112="","",N(E112)*N(F112))</f>
        <v/>
      </c>
      <c r="H112" s="27" t="n"/>
      <c r="I112" s="27" t="n"/>
      <c r="J112" s="28">
        <f>IF($D112="","",N(G112)+N(H112)-N(I112))</f>
        <v/>
      </c>
      <c r="K112" s="27" t="n"/>
      <c r="L112" s="28">
        <f>IF($D112="","",N(J112)-N(K112))</f>
        <v/>
      </c>
    </row>
    <row r="113">
      <c r="A113" s="38" t="n"/>
      <c r="B113" s="12" t="n"/>
      <c r="C113" s="12" t="n"/>
      <c r="D113" s="12" t="n"/>
      <c r="E113" s="43" t="n"/>
      <c r="F113" s="28">
        <f>IF($D113="","",IFERROR(VLOOKUP($D113,'Products &amp; Pricing'!$A$14:$D$28,4,FALSE),""))</f>
        <v/>
      </c>
      <c r="G113" s="28">
        <f>IF($D113="","",N(E113)*N(F113))</f>
        <v/>
      </c>
      <c r="H113" s="27" t="n"/>
      <c r="I113" s="27" t="n"/>
      <c r="J113" s="28">
        <f>IF($D113="","",N(G113)+N(H113)-N(I113))</f>
        <v/>
      </c>
      <c r="K113" s="27" t="n"/>
      <c r="L113" s="28">
        <f>IF($D113="","",N(J113)-N(K113))</f>
        <v/>
      </c>
    </row>
    <row r="114">
      <c r="A114" s="38" t="n"/>
      <c r="B114" s="12" t="n"/>
      <c r="C114" s="12" t="n"/>
      <c r="D114" s="12" t="n"/>
      <c r="E114" s="43" t="n"/>
      <c r="F114" s="28">
        <f>IF($D114="","",IFERROR(VLOOKUP($D114,'Products &amp; Pricing'!$A$14:$D$28,4,FALSE),""))</f>
        <v/>
      </c>
      <c r="G114" s="28">
        <f>IF($D114="","",N(E114)*N(F114))</f>
        <v/>
      </c>
      <c r="H114" s="27" t="n"/>
      <c r="I114" s="27" t="n"/>
      <c r="J114" s="28">
        <f>IF($D114="","",N(G114)+N(H114)-N(I114))</f>
        <v/>
      </c>
      <c r="K114" s="27" t="n"/>
      <c r="L114" s="28">
        <f>IF($D114="","",N(J114)-N(K114))</f>
        <v/>
      </c>
    </row>
    <row r="115">
      <c r="A115" s="38" t="n"/>
      <c r="B115" s="12" t="n"/>
      <c r="C115" s="12" t="n"/>
      <c r="D115" s="12" t="n"/>
      <c r="E115" s="43" t="n"/>
      <c r="F115" s="28">
        <f>IF($D115="","",IFERROR(VLOOKUP($D115,'Products &amp; Pricing'!$A$14:$D$28,4,FALSE),""))</f>
        <v/>
      </c>
      <c r="G115" s="28">
        <f>IF($D115="","",N(E115)*N(F115))</f>
        <v/>
      </c>
      <c r="H115" s="27" t="n"/>
      <c r="I115" s="27" t="n"/>
      <c r="J115" s="28">
        <f>IF($D115="","",N(G115)+N(H115)-N(I115))</f>
        <v/>
      </c>
      <c r="K115" s="27" t="n"/>
      <c r="L115" s="28">
        <f>IF($D115="","",N(J115)-N(K115))</f>
        <v/>
      </c>
    </row>
    <row r="116">
      <c r="A116" s="38" t="n"/>
      <c r="B116" s="12" t="n"/>
      <c r="C116" s="12" t="n"/>
      <c r="D116" s="12" t="n"/>
      <c r="E116" s="43" t="n"/>
      <c r="F116" s="28">
        <f>IF($D116="","",IFERROR(VLOOKUP($D116,'Products &amp; Pricing'!$A$14:$D$28,4,FALSE),""))</f>
        <v/>
      </c>
      <c r="G116" s="28">
        <f>IF($D116="","",N(E116)*N(F116))</f>
        <v/>
      </c>
      <c r="H116" s="27" t="n"/>
      <c r="I116" s="27" t="n"/>
      <c r="J116" s="28">
        <f>IF($D116="","",N(G116)+N(H116)-N(I116))</f>
        <v/>
      </c>
      <c r="K116" s="27" t="n"/>
      <c r="L116" s="28">
        <f>IF($D116="","",N(J116)-N(K116))</f>
        <v/>
      </c>
    </row>
    <row r="117">
      <c r="A117" s="38" t="n"/>
      <c r="B117" s="12" t="n"/>
      <c r="C117" s="12" t="n"/>
      <c r="D117" s="12" t="n"/>
      <c r="E117" s="43" t="n"/>
      <c r="F117" s="28">
        <f>IF($D117="","",IFERROR(VLOOKUP($D117,'Products &amp; Pricing'!$A$14:$D$28,4,FALSE),""))</f>
        <v/>
      </c>
      <c r="G117" s="28">
        <f>IF($D117="","",N(E117)*N(F117))</f>
        <v/>
      </c>
      <c r="H117" s="27" t="n"/>
      <c r="I117" s="27" t="n"/>
      <c r="J117" s="28">
        <f>IF($D117="","",N(G117)+N(H117)-N(I117))</f>
        <v/>
      </c>
      <c r="K117" s="27" t="n"/>
      <c r="L117" s="28">
        <f>IF($D117="","",N(J117)-N(K117))</f>
        <v/>
      </c>
    </row>
    <row r="118">
      <c r="A118" s="38" t="n"/>
      <c r="B118" s="12" t="n"/>
      <c r="C118" s="12" t="n"/>
      <c r="D118" s="12" t="n"/>
      <c r="E118" s="43" t="n"/>
      <c r="F118" s="28">
        <f>IF($D118="","",IFERROR(VLOOKUP($D118,'Products &amp; Pricing'!$A$14:$D$28,4,FALSE),""))</f>
        <v/>
      </c>
      <c r="G118" s="28">
        <f>IF($D118="","",N(E118)*N(F118))</f>
        <v/>
      </c>
      <c r="H118" s="27" t="n"/>
      <c r="I118" s="27" t="n"/>
      <c r="J118" s="28">
        <f>IF($D118="","",N(G118)+N(H118)-N(I118))</f>
        <v/>
      </c>
      <c r="K118" s="27" t="n"/>
      <c r="L118" s="28">
        <f>IF($D118="","",N(J118)-N(K118))</f>
        <v/>
      </c>
    </row>
    <row r="119">
      <c r="A119" s="38" t="n"/>
      <c r="B119" s="12" t="n"/>
      <c r="C119" s="12" t="n"/>
      <c r="D119" s="12" t="n"/>
      <c r="E119" s="43" t="n"/>
      <c r="F119" s="28">
        <f>IF($D119="","",IFERROR(VLOOKUP($D119,'Products &amp; Pricing'!$A$14:$D$28,4,FALSE),""))</f>
        <v/>
      </c>
      <c r="G119" s="28">
        <f>IF($D119="","",N(E119)*N(F119))</f>
        <v/>
      </c>
      <c r="H119" s="27" t="n"/>
      <c r="I119" s="27" t="n"/>
      <c r="J119" s="28">
        <f>IF($D119="","",N(G119)+N(H119)-N(I119))</f>
        <v/>
      </c>
      <c r="K119" s="27" t="n"/>
      <c r="L119" s="28">
        <f>IF($D119="","",N(J119)-N(K119))</f>
        <v/>
      </c>
    </row>
    <row r="120">
      <c r="A120" s="38" t="n"/>
      <c r="B120" s="12" t="n"/>
      <c r="C120" s="12" t="n"/>
      <c r="D120" s="12" t="n"/>
      <c r="E120" s="43" t="n"/>
      <c r="F120" s="28">
        <f>IF($D120="","",IFERROR(VLOOKUP($D120,'Products &amp; Pricing'!$A$14:$D$28,4,FALSE),""))</f>
        <v/>
      </c>
      <c r="G120" s="28">
        <f>IF($D120="","",N(E120)*N(F120))</f>
        <v/>
      </c>
      <c r="H120" s="27" t="n"/>
      <c r="I120" s="27" t="n"/>
      <c r="J120" s="28">
        <f>IF($D120="","",N(G120)+N(H120)-N(I120))</f>
        <v/>
      </c>
      <c r="K120" s="27" t="n"/>
      <c r="L120" s="28">
        <f>IF($D120="","",N(J120)-N(K120))</f>
        <v/>
      </c>
    </row>
    <row r="121">
      <c r="A121" s="38" t="n"/>
      <c r="B121" s="12" t="n"/>
      <c r="C121" s="12" t="n"/>
      <c r="D121" s="12" t="n"/>
      <c r="E121" s="43" t="n"/>
      <c r="F121" s="28">
        <f>IF($D121="","",IFERROR(VLOOKUP($D121,'Products &amp; Pricing'!$A$14:$D$28,4,FALSE),""))</f>
        <v/>
      </c>
      <c r="G121" s="28">
        <f>IF($D121="","",N(E121)*N(F121))</f>
        <v/>
      </c>
      <c r="H121" s="27" t="n"/>
      <c r="I121" s="27" t="n"/>
      <c r="J121" s="28">
        <f>IF($D121="","",N(G121)+N(H121)-N(I121))</f>
        <v/>
      </c>
      <c r="K121" s="27" t="n"/>
      <c r="L121" s="28">
        <f>IF($D121="","",N(J121)-N(K121))</f>
        <v/>
      </c>
    </row>
    <row r="122">
      <c r="A122" s="38" t="n"/>
      <c r="B122" s="12" t="n"/>
      <c r="C122" s="12" t="n"/>
      <c r="D122" s="12" t="n"/>
      <c r="E122" s="43" t="n"/>
      <c r="F122" s="28">
        <f>IF($D122="","",IFERROR(VLOOKUP($D122,'Products &amp; Pricing'!$A$14:$D$28,4,FALSE),""))</f>
        <v/>
      </c>
      <c r="G122" s="28">
        <f>IF($D122="","",N(E122)*N(F122))</f>
        <v/>
      </c>
      <c r="H122" s="27" t="n"/>
      <c r="I122" s="27" t="n"/>
      <c r="J122" s="28">
        <f>IF($D122="","",N(G122)+N(H122)-N(I122))</f>
        <v/>
      </c>
      <c r="K122" s="27" t="n"/>
      <c r="L122" s="28">
        <f>IF($D122="","",N(J122)-N(K122))</f>
        <v/>
      </c>
    </row>
    <row r="123">
      <c r="A123" s="38" t="n"/>
      <c r="B123" s="12" t="n"/>
      <c r="C123" s="12" t="n"/>
      <c r="D123" s="12" t="n"/>
      <c r="E123" s="43" t="n"/>
      <c r="F123" s="28">
        <f>IF($D123="","",IFERROR(VLOOKUP($D123,'Products &amp; Pricing'!$A$14:$D$28,4,FALSE),""))</f>
        <v/>
      </c>
      <c r="G123" s="28">
        <f>IF($D123="","",N(E123)*N(F123))</f>
        <v/>
      </c>
      <c r="H123" s="27" t="n"/>
      <c r="I123" s="27" t="n"/>
      <c r="J123" s="28">
        <f>IF($D123="","",N(G123)+N(H123)-N(I123))</f>
        <v/>
      </c>
      <c r="K123" s="27" t="n"/>
      <c r="L123" s="28">
        <f>IF($D123="","",N(J123)-N(K123))</f>
        <v/>
      </c>
    </row>
    <row r="124">
      <c r="A124" s="38" t="n"/>
      <c r="B124" s="12" t="n"/>
      <c r="C124" s="12" t="n"/>
      <c r="D124" s="12" t="n"/>
      <c r="E124" s="43" t="n"/>
      <c r="F124" s="28">
        <f>IF($D124="","",IFERROR(VLOOKUP($D124,'Products &amp; Pricing'!$A$14:$D$28,4,FALSE),""))</f>
        <v/>
      </c>
      <c r="G124" s="28">
        <f>IF($D124="","",N(E124)*N(F124))</f>
        <v/>
      </c>
      <c r="H124" s="27" t="n"/>
      <c r="I124" s="27" t="n"/>
      <c r="J124" s="28">
        <f>IF($D124="","",N(G124)+N(H124)-N(I124))</f>
        <v/>
      </c>
      <c r="K124" s="27" t="n"/>
      <c r="L124" s="28">
        <f>IF($D124="","",N(J124)-N(K124))</f>
        <v/>
      </c>
    </row>
    <row r="125">
      <c r="A125" s="38" t="n"/>
      <c r="B125" s="12" t="n"/>
      <c r="C125" s="12" t="n"/>
      <c r="D125" s="12" t="n"/>
      <c r="E125" s="43" t="n"/>
      <c r="F125" s="28">
        <f>IF($D125="","",IFERROR(VLOOKUP($D125,'Products &amp; Pricing'!$A$14:$D$28,4,FALSE),""))</f>
        <v/>
      </c>
      <c r="G125" s="28">
        <f>IF($D125="","",N(E125)*N(F125))</f>
        <v/>
      </c>
      <c r="H125" s="27" t="n"/>
      <c r="I125" s="27" t="n"/>
      <c r="J125" s="28">
        <f>IF($D125="","",N(G125)+N(H125)-N(I125))</f>
        <v/>
      </c>
      <c r="K125" s="27" t="n"/>
      <c r="L125" s="28">
        <f>IF($D125="","",N(J125)-N(K125))</f>
        <v/>
      </c>
    </row>
    <row r="126">
      <c r="A126" s="38" t="n"/>
      <c r="B126" s="12" t="n"/>
      <c r="C126" s="12" t="n"/>
      <c r="D126" s="12" t="n"/>
      <c r="E126" s="43" t="n"/>
      <c r="F126" s="28">
        <f>IF($D126="","",IFERROR(VLOOKUP($D126,'Products &amp; Pricing'!$A$14:$D$28,4,FALSE),""))</f>
        <v/>
      </c>
      <c r="G126" s="28">
        <f>IF($D126="","",N(E126)*N(F126))</f>
        <v/>
      </c>
      <c r="H126" s="27" t="n"/>
      <c r="I126" s="27" t="n"/>
      <c r="J126" s="28">
        <f>IF($D126="","",N(G126)+N(H126)-N(I126))</f>
        <v/>
      </c>
      <c r="K126" s="27" t="n"/>
      <c r="L126" s="28">
        <f>IF($D126="","",N(J126)-N(K126))</f>
        <v/>
      </c>
    </row>
    <row r="127">
      <c r="A127" s="38" t="n"/>
      <c r="B127" s="12" t="n"/>
      <c r="C127" s="12" t="n"/>
      <c r="D127" s="12" t="n"/>
      <c r="E127" s="43" t="n"/>
      <c r="F127" s="28">
        <f>IF($D127="","",IFERROR(VLOOKUP($D127,'Products &amp; Pricing'!$A$14:$D$28,4,FALSE),""))</f>
        <v/>
      </c>
      <c r="G127" s="28">
        <f>IF($D127="","",N(E127)*N(F127))</f>
        <v/>
      </c>
      <c r="H127" s="27" t="n"/>
      <c r="I127" s="27" t="n"/>
      <c r="J127" s="28">
        <f>IF($D127="","",N(G127)+N(H127)-N(I127))</f>
        <v/>
      </c>
      <c r="K127" s="27" t="n"/>
      <c r="L127" s="28">
        <f>IF($D127="","",N(J127)-N(K127))</f>
        <v/>
      </c>
    </row>
    <row r="128">
      <c r="A128" s="38" t="n"/>
      <c r="B128" s="12" t="n"/>
      <c r="C128" s="12" t="n"/>
      <c r="D128" s="12" t="n"/>
      <c r="E128" s="43" t="n"/>
      <c r="F128" s="28">
        <f>IF($D128="","",IFERROR(VLOOKUP($D128,'Products &amp; Pricing'!$A$14:$D$28,4,FALSE),""))</f>
        <v/>
      </c>
      <c r="G128" s="28">
        <f>IF($D128="","",N(E128)*N(F128))</f>
        <v/>
      </c>
      <c r="H128" s="27" t="n"/>
      <c r="I128" s="27" t="n"/>
      <c r="J128" s="28">
        <f>IF($D128="","",N(G128)+N(H128)-N(I128))</f>
        <v/>
      </c>
      <c r="K128" s="27" t="n"/>
      <c r="L128" s="28">
        <f>IF($D128="","",N(J128)-N(K128))</f>
        <v/>
      </c>
    </row>
    <row r="129">
      <c r="A129" s="38" t="n"/>
      <c r="B129" s="12" t="n"/>
      <c r="C129" s="12" t="n"/>
      <c r="D129" s="12" t="n"/>
      <c r="E129" s="43" t="n"/>
      <c r="F129" s="28">
        <f>IF($D129="","",IFERROR(VLOOKUP($D129,'Products &amp; Pricing'!$A$14:$D$28,4,FALSE),""))</f>
        <v/>
      </c>
      <c r="G129" s="28">
        <f>IF($D129="","",N(E129)*N(F129))</f>
        <v/>
      </c>
      <c r="H129" s="27" t="n"/>
      <c r="I129" s="27" t="n"/>
      <c r="J129" s="28">
        <f>IF($D129="","",N(G129)+N(H129)-N(I129))</f>
        <v/>
      </c>
      <c r="K129" s="27" t="n"/>
      <c r="L129" s="28">
        <f>IF($D129="","",N(J129)-N(K129))</f>
        <v/>
      </c>
    </row>
    <row r="130">
      <c r="A130" s="38" t="n"/>
      <c r="B130" s="12" t="n"/>
      <c r="C130" s="12" t="n"/>
      <c r="D130" s="12" t="n"/>
      <c r="E130" s="43" t="n"/>
      <c r="F130" s="28">
        <f>IF($D130="","",IFERROR(VLOOKUP($D130,'Products &amp; Pricing'!$A$14:$D$28,4,FALSE),""))</f>
        <v/>
      </c>
      <c r="G130" s="28">
        <f>IF($D130="","",N(E130)*N(F130))</f>
        <v/>
      </c>
      <c r="H130" s="27" t="n"/>
      <c r="I130" s="27" t="n"/>
      <c r="J130" s="28">
        <f>IF($D130="","",N(G130)+N(H130)-N(I130))</f>
        <v/>
      </c>
      <c r="K130" s="27" t="n"/>
      <c r="L130" s="28">
        <f>IF($D130="","",N(J130)-N(K130))</f>
        <v/>
      </c>
    </row>
    <row r="131">
      <c r="A131" s="38" t="n"/>
      <c r="B131" s="12" t="n"/>
      <c r="C131" s="12" t="n"/>
      <c r="D131" s="12" t="n"/>
      <c r="E131" s="43" t="n"/>
      <c r="F131" s="28">
        <f>IF($D131="","",IFERROR(VLOOKUP($D131,'Products &amp; Pricing'!$A$14:$D$28,4,FALSE),""))</f>
        <v/>
      </c>
      <c r="G131" s="28">
        <f>IF($D131="","",N(E131)*N(F131))</f>
        <v/>
      </c>
      <c r="H131" s="27" t="n"/>
      <c r="I131" s="27" t="n"/>
      <c r="J131" s="28">
        <f>IF($D131="","",N(G131)+N(H131)-N(I131))</f>
        <v/>
      </c>
      <c r="K131" s="27" t="n"/>
      <c r="L131" s="28">
        <f>IF($D131="","",N(J131)-N(K131))</f>
        <v/>
      </c>
    </row>
    <row r="132">
      <c r="A132" s="38" t="n"/>
      <c r="B132" s="12" t="n"/>
      <c r="C132" s="12" t="n"/>
      <c r="D132" s="12" t="n"/>
      <c r="E132" s="43" t="n"/>
      <c r="F132" s="28">
        <f>IF($D132="","",IFERROR(VLOOKUP($D132,'Products &amp; Pricing'!$A$14:$D$28,4,FALSE),""))</f>
        <v/>
      </c>
      <c r="G132" s="28">
        <f>IF($D132="","",N(E132)*N(F132))</f>
        <v/>
      </c>
      <c r="H132" s="27" t="n"/>
      <c r="I132" s="27" t="n"/>
      <c r="J132" s="28">
        <f>IF($D132="","",N(G132)+N(H132)-N(I132))</f>
        <v/>
      </c>
      <c r="K132" s="27" t="n"/>
      <c r="L132" s="28">
        <f>IF($D132="","",N(J132)-N(K132))</f>
        <v/>
      </c>
    </row>
    <row r="133">
      <c r="A133" s="38" t="n"/>
      <c r="B133" s="12" t="n"/>
      <c r="C133" s="12" t="n"/>
      <c r="D133" s="12" t="n"/>
      <c r="E133" s="43" t="n"/>
      <c r="F133" s="28">
        <f>IF($D133="","",IFERROR(VLOOKUP($D133,'Products &amp; Pricing'!$A$14:$D$28,4,FALSE),""))</f>
        <v/>
      </c>
      <c r="G133" s="28">
        <f>IF($D133="","",N(E133)*N(F133))</f>
        <v/>
      </c>
      <c r="H133" s="27" t="n"/>
      <c r="I133" s="27" t="n"/>
      <c r="J133" s="28">
        <f>IF($D133="","",N(G133)+N(H133)-N(I133))</f>
        <v/>
      </c>
      <c r="K133" s="27" t="n"/>
      <c r="L133" s="28">
        <f>IF($D133="","",N(J133)-N(K133))</f>
        <v/>
      </c>
    </row>
    <row r="134">
      <c r="A134" s="38" t="n"/>
      <c r="B134" s="12" t="n"/>
      <c r="C134" s="12" t="n"/>
      <c r="D134" s="12" t="n"/>
      <c r="E134" s="43" t="n"/>
      <c r="F134" s="28">
        <f>IF($D134="","",IFERROR(VLOOKUP($D134,'Products &amp; Pricing'!$A$14:$D$28,4,FALSE),""))</f>
        <v/>
      </c>
      <c r="G134" s="28">
        <f>IF($D134="","",N(E134)*N(F134))</f>
        <v/>
      </c>
      <c r="H134" s="27" t="n"/>
      <c r="I134" s="27" t="n"/>
      <c r="J134" s="28">
        <f>IF($D134="","",N(G134)+N(H134)-N(I134))</f>
        <v/>
      </c>
      <c r="K134" s="27" t="n"/>
      <c r="L134" s="28">
        <f>IF($D134="","",N(J134)-N(K134))</f>
        <v/>
      </c>
    </row>
    <row r="135">
      <c r="A135" s="38" t="n"/>
      <c r="B135" s="12" t="n"/>
      <c r="C135" s="12" t="n"/>
      <c r="D135" s="12" t="n"/>
      <c r="E135" s="43" t="n"/>
      <c r="F135" s="28">
        <f>IF($D135="","",IFERROR(VLOOKUP($D135,'Products &amp; Pricing'!$A$14:$D$28,4,FALSE),""))</f>
        <v/>
      </c>
      <c r="G135" s="28">
        <f>IF($D135="","",N(E135)*N(F135))</f>
        <v/>
      </c>
      <c r="H135" s="27" t="n"/>
      <c r="I135" s="27" t="n"/>
      <c r="J135" s="28">
        <f>IF($D135="","",N(G135)+N(H135)-N(I135))</f>
        <v/>
      </c>
      <c r="K135" s="27" t="n"/>
      <c r="L135" s="28">
        <f>IF($D135="","",N(J135)-N(K135))</f>
        <v/>
      </c>
    </row>
    <row r="136">
      <c r="A136" s="38" t="n"/>
      <c r="B136" s="12" t="n"/>
      <c r="C136" s="12" t="n"/>
      <c r="D136" s="12" t="n"/>
      <c r="E136" s="43" t="n"/>
      <c r="F136" s="28">
        <f>IF($D136="","",IFERROR(VLOOKUP($D136,'Products &amp; Pricing'!$A$14:$D$28,4,FALSE),""))</f>
        <v/>
      </c>
      <c r="G136" s="28">
        <f>IF($D136="","",N(E136)*N(F136))</f>
        <v/>
      </c>
      <c r="H136" s="27" t="n"/>
      <c r="I136" s="27" t="n"/>
      <c r="J136" s="28">
        <f>IF($D136="","",N(G136)+N(H136)-N(I136))</f>
        <v/>
      </c>
      <c r="K136" s="27" t="n"/>
      <c r="L136" s="28">
        <f>IF($D136="","",N(J136)-N(K136))</f>
        <v/>
      </c>
    </row>
    <row r="137">
      <c r="A137" s="38" t="n"/>
      <c r="B137" s="12" t="n"/>
      <c r="C137" s="12" t="n"/>
      <c r="D137" s="12" t="n"/>
      <c r="E137" s="43" t="n"/>
      <c r="F137" s="28">
        <f>IF($D137="","",IFERROR(VLOOKUP($D137,'Products &amp; Pricing'!$A$14:$D$28,4,FALSE),""))</f>
        <v/>
      </c>
      <c r="G137" s="28">
        <f>IF($D137="","",N(E137)*N(F137))</f>
        <v/>
      </c>
      <c r="H137" s="27" t="n"/>
      <c r="I137" s="27" t="n"/>
      <c r="J137" s="28">
        <f>IF($D137="","",N(G137)+N(H137)-N(I137))</f>
        <v/>
      </c>
      <c r="K137" s="27" t="n"/>
      <c r="L137" s="28">
        <f>IF($D137="","",N(J137)-N(K137))</f>
        <v/>
      </c>
    </row>
    <row r="138">
      <c r="A138" s="38" t="n"/>
      <c r="B138" s="12" t="n"/>
      <c r="C138" s="12" t="n"/>
      <c r="D138" s="12" t="n"/>
      <c r="E138" s="43" t="n"/>
      <c r="F138" s="28">
        <f>IF($D138="","",IFERROR(VLOOKUP($D138,'Products &amp; Pricing'!$A$14:$D$28,4,FALSE),""))</f>
        <v/>
      </c>
      <c r="G138" s="28">
        <f>IF($D138="","",N(E138)*N(F138))</f>
        <v/>
      </c>
      <c r="H138" s="27" t="n"/>
      <c r="I138" s="27" t="n"/>
      <c r="J138" s="28">
        <f>IF($D138="","",N(G138)+N(H138)-N(I138))</f>
        <v/>
      </c>
      <c r="K138" s="27" t="n"/>
      <c r="L138" s="28">
        <f>IF($D138="","",N(J138)-N(K138))</f>
        <v/>
      </c>
    </row>
    <row r="139">
      <c r="A139" s="38" t="n"/>
      <c r="B139" s="12" t="n"/>
      <c r="C139" s="12" t="n"/>
      <c r="D139" s="12" t="n"/>
      <c r="E139" s="43" t="n"/>
      <c r="F139" s="28">
        <f>IF($D139="","",IFERROR(VLOOKUP($D139,'Products &amp; Pricing'!$A$14:$D$28,4,FALSE),""))</f>
        <v/>
      </c>
      <c r="G139" s="28">
        <f>IF($D139="","",N(E139)*N(F139))</f>
        <v/>
      </c>
      <c r="H139" s="27" t="n"/>
      <c r="I139" s="27" t="n"/>
      <c r="J139" s="28">
        <f>IF($D139="","",N(G139)+N(H139)-N(I139))</f>
        <v/>
      </c>
      <c r="K139" s="27" t="n"/>
      <c r="L139" s="28">
        <f>IF($D139="","",N(J139)-N(K139))</f>
        <v/>
      </c>
    </row>
    <row r="140">
      <c r="A140" s="38" t="n"/>
      <c r="B140" s="12" t="n"/>
      <c r="C140" s="12" t="n"/>
      <c r="D140" s="12" t="n"/>
      <c r="E140" s="43" t="n"/>
      <c r="F140" s="28">
        <f>IF($D140="","",IFERROR(VLOOKUP($D140,'Products &amp; Pricing'!$A$14:$D$28,4,FALSE),""))</f>
        <v/>
      </c>
      <c r="G140" s="28">
        <f>IF($D140="","",N(E140)*N(F140))</f>
        <v/>
      </c>
      <c r="H140" s="27" t="n"/>
      <c r="I140" s="27" t="n"/>
      <c r="J140" s="28">
        <f>IF($D140="","",N(G140)+N(H140)-N(I140))</f>
        <v/>
      </c>
      <c r="K140" s="27" t="n"/>
      <c r="L140" s="28">
        <f>IF($D140="","",N(J140)-N(K140))</f>
        <v/>
      </c>
    </row>
    <row r="141">
      <c r="A141" s="38" t="n"/>
      <c r="B141" s="12" t="n"/>
      <c r="C141" s="12" t="n"/>
      <c r="D141" s="12" t="n"/>
      <c r="E141" s="43" t="n"/>
      <c r="F141" s="28">
        <f>IF($D141="","",IFERROR(VLOOKUP($D141,'Products &amp; Pricing'!$A$14:$D$28,4,FALSE),""))</f>
        <v/>
      </c>
      <c r="G141" s="28">
        <f>IF($D141="","",N(E141)*N(F141))</f>
        <v/>
      </c>
      <c r="H141" s="27" t="n"/>
      <c r="I141" s="27" t="n"/>
      <c r="J141" s="28">
        <f>IF($D141="","",N(G141)+N(H141)-N(I141))</f>
        <v/>
      </c>
      <c r="K141" s="27" t="n"/>
      <c r="L141" s="28">
        <f>IF($D141="","",N(J141)-N(K141))</f>
        <v/>
      </c>
    </row>
    <row r="142">
      <c r="A142" s="38" t="n"/>
      <c r="B142" s="12" t="n"/>
      <c r="C142" s="12" t="n"/>
      <c r="D142" s="12" t="n"/>
      <c r="E142" s="43" t="n"/>
      <c r="F142" s="28">
        <f>IF($D142="","",IFERROR(VLOOKUP($D142,'Products &amp; Pricing'!$A$14:$D$28,4,FALSE),""))</f>
        <v/>
      </c>
      <c r="G142" s="28">
        <f>IF($D142="","",N(E142)*N(F142))</f>
        <v/>
      </c>
      <c r="H142" s="27" t="n"/>
      <c r="I142" s="27" t="n"/>
      <c r="J142" s="28">
        <f>IF($D142="","",N(G142)+N(H142)-N(I142))</f>
        <v/>
      </c>
      <c r="K142" s="27" t="n"/>
      <c r="L142" s="28">
        <f>IF($D142="","",N(J142)-N(K142))</f>
        <v/>
      </c>
    </row>
    <row r="143">
      <c r="A143" s="38" t="n"/>
      <c r="B143" s="12" t="n"/>
      <c r="C143" s="12" t="n"/>
      <c r="D143" s="12" t="n"/>
      <c r="E143" s="43" t="n"/>
      <c r="F143" s="28">
        <f>IF($D143="","",IFERROR(VLOOKUP($D143,'Products &amp; Pricing'!$A$14:$D$28,4,FALSE),""))</f>
        <v/>
      </c>
      <c r="G143" s="28">
        <f>IF($D143="","",N(E143)*N(F143))</f>
        <v/>
      </c>
      <c r="H143" s="27" t="n"/>
      <c r="I143" s="27" t="n"/>
      <c r="J143" s="28">
        <f>IF($D143="","",N(G143)+N(H143)-N(I143))</f>
        <v/>
      </c>
      <c r="K143" s="27" t="n"/>
      <c r="L143" s="28">
        <f>IF($D143="","",N(J143)-N(K143))</f>
        <v/>
      </c>
    </row>
    <row r="144">
      <c r="A144" s="38" t="n"/>
      <c r="B144" s="12" t="n"/>
      <c r="C144" s="12" t="n"/>
      <c r="D144" s="12" t="n"/>
      <c r="E144" s="43" t="n"/>
      <c r="F144" s="28">
        <f>IF($D144="","",IFERROR(VLOOKUP($D144,'Products &amp; Pricing'!$A$14:$D$28,4,FALSE),""))</f>
        <v/>
      </c>
      <c r="G144" s="28">
        <f>IF($D144="","",N(E144)*N(F144))</f>
        <v/>
      </c>
      <c r="H144" s="27" t="n"/>
      <c r="I144" s="27" t="n"/>
      <c r="J144" s="28">
        <f>IF($D144="","",N(G144)+N(H144)-N(I144))</f>
        <v/>
      </c>
      <c r="K144" s="27" t="n"/>
      <c r="L144" s="28">
        <f>IF($D144="","",N(J144)-N(K144))</f>
        <v/>
      </c>
    </row>
    <row r="145">
      <c r="A145" s="38" t="n"/>
      <c r="B145" s="12" t="n"/>
      <c r="C145" s="12" t="n"/>
      <c r="D145" s="12" t="n"/>
      <c r="E145" s="43" t="n"/>
      <c r="F145" s="28">
        <f>IF($D145="","",IFERROR(VLOOKUP($D145,'Products &amp; Pricing'!$A$14:$D$28,4,FALSE),""))</f>
        <v/>
      </c>
      <c r="G145" s="28">
        <f>IF($D145="","",N(E145)*N(F145))</f>
        <v/>
      </c>
      <c r="H145" s="27" t="n"/>
      <c r="I145" s="27" t="n"/>
      <c r="J145" s="28">
        <f>IF($D145="","",N(G145)+N(H145)-N(I145))</f>
        <v/>
      </c>
      <c r="K145" s="27" t="n"/>
      <c r="L145" s="28">
        <f>IF($D145="","",N(J145)-N(K145))</f>
        <v/>
      </c>
    </row>
    <row r="146">
      <c r="A146" s="38" t="n"/>
      <c r="B146" s="12" t="n"/>
      <c r="C146" s="12" t="n"/>
      <c r="D146" s="12" t="n"/>
      <c r="E146" s="43" t="n"/>
      <c r="F146" s="28">
        <f>IF($D146="","",IFERROR(VLOOKUP($D146,'Products &amp; Pricing'!$A$14:$D$28,4,FALSE),""))</f>
        <v/>
      </c>
      <c r="G146" s="28">
        <f>IF($D146="","",N(E146)*N(F146))</f>
        <v/>
      </c>
      <c r="H146" s="27" t="n"/>
      <c r="I146" s="27" t="n"/>
      <c r="J146" s="28">
        <f>IF($D146="","",N(G146)+N(H146)-N(I146))</f>
        <v/>
      </c>
      <c r="K146" s="27" t="n"/>
      <c r="L146" s="28">
        <f>IF($D146="","",N(J146)-N(K146))</f>
        <v/>
      </c>
    </row>
    <row r="147">
      <c r="A147" s="38" t="n"/>
      <c r="B147" s="12" t="n"/>
      <c r="C147" s="12" t="n"/>
      <c r="D147" s="12" t="n"/>
      <c r="E147" s="43" t="n"/>
      <c r="F147" s="28">
        <f>IF($D147="","",IFERROR(VLOOKUP($D147,'Products &amp; Pricing'!$A$14:$D$28,4,FALSE),""))</f>
        <v/>
      </c>
      <c r="G147" s="28">
        <f>IF($D147="","",N(E147)*N(F147))</f>
        <v/>
      </c>
      <c r="H147" s="27" t="n"/>
      <c r="I147" s="27" t="n"/>
      <c r="J147" s="28">
        <f>IF($D147="","",N(G147)+N(H147)-N(I147))</f>
        <v/>
      </c>
      <c r="K147" s="27" t="n"/>
      <c r="L147" s="28">
        <f>IF($D147="","",N(J147)-N(K147))</f>
        <v/>
      </c>
    </row>
    <row r="148">
      <c r="A148" s="38" t="n"/>
      <c r="B148" s="12" t="n"/>
      <c r="C148" s="12" t="n"/>
      <c r="D148" s="12" t="n"/>
      <c r="E148" s="43" t="n"/>
      <c r="F148" s="28">
        <f>IF($D148="","",IFERROR(VLOOKUP($D148,'Products &amp; Pricing'!$A$14:$D$28,4,FALSE),""))</f>
        <v/>
      </c>
      <c r="G148" s="28">
        <f>IF($D148="","",N(E148)*N(F148))</f>
        <v/>
      </c>
      <c r="H148" s="27" t="n"/>
      <c r="I148" s="27" t="n"/>
      <c r="J148" s="28">
        <f>IF($D148="","",N(G148)+N(H148)-N(I148))</f>
        <v/>
      </c>
      <c r="K148" s="27" t="n"/>
      <c r="L148" s="28">
        <f>IF($D148="","",N(J148)-N(K148))</f>
        <v/>
      </c>
    </row>
    <row r="149">
      <c r="A149" s="38" t="n"/>
      <c r="B149" s="12" t="n"/>
      <c r="C149" s="12" t="n"/>
      <c r="D149" s="12" t="n"/>
      <c r="E149" s="43" t="n"/>
      <c r="F149" s="28">
        <f>IF($D149="","",IFERROR(VLOOKUP($D149,'Products &amp; Pricing'!$A$14:$D$28,4,FALSE),""))</f>
        <v/>
      </c>
      <c r="G149" s="28">
        <f>IF($D149="","",N(E149)*N(F149))</f>
        <v/>
      </c>
      <c r="H149" s="27" t="n"/>
      <c r="I149" s="27" t="n"/>
      <c r="J149" s="28">
        <f>IF($D149="","",N(G149)+N(H149)-N(I149))</f>
        <v/>
      </c>
      <c r="K149" s="27" t="n"/>
      <c r="L149" s="28">
        <f>IF($D149="","",N(J149)-N(K149))</f>
        <v/>
      </c>
    </row>
    <row r="150">
      <c r="A150" s="38" t="n"/>
      <c r="B150" s="12" t="n"/>
      <c r="C150" s="12" t="n"/>
      <c r="D150" s="12" t="n"/>
      <c r="E150" s="43" t="n"/>
      <c r="F150" s="28">
        <f>IF($D150="","",IFERROR(VLOOKUP($D150,'Products &amp; Pricing'!$A$14:$D$28,4,FALSE),""))</f>
        <v/>
      </c>
      <c r="G150" s="28">
        <f>IF($D150="","",N(E150)*N(F150))</f>
        <v/>
      </c>
      <c r="H150" s="27" t="n"/>
      <c r="I150" s="27" t="n"/>
      <c r="J150" s="28">
        <f>IF($D150="","",N(G150)+N(H150)-N(I150))</f>
        <v/>
      </c>
      <c r="K150" s="27" t="n"/>
      <c r="L150" s="28">
        <f>IF($D150="","",N(J150)-N(K150))</f>
        <v/>
      </c>
    </row>
    <row r="151">
      <c r="A151" s="38" t="n"/>
      <c r="B151" s="12" t="n"/>
      <c r="C151" s="12" t="n"/>
      <c r="D151" s="12" t="n"/>
      <c r="E151" s="43" t="n"/>
      <c r="F151" s="28">
        <f>IF($D151="","",IFERROR(VLOOKUP($D151,'Products &amp; Pricing'!$A$14:$D$28,4,FALSE),""))</f>
        <v/>
      </c>
      <c r="G151" s="28">
        <f>IF($D151="","",N(E151)*N(F151))</f>
        <v/>
      </c>
      <c r="H151" s="27" t="n"/>
      <c r="I151" s="27" t="n"/>
      <c r="J151" s="28">
        <f>IF($D151="","",N(G151)+N(H151)-N(I151))</f>
        <v/>
      </c>
      <c r="K151" s="27" t="n"/>
      <c r="L151" s="28">
        <f>IF($D151="","",N(J151)-N(K151))</f>
        <v/>
      </c>
    </row>
    <row r="152">
      <c r="A152" s="38" t="n"/>
      <c r="B152" s="12" t="n"/>
      <c r="C152" s="12" t="n"/>
      <c r="D152" s="12" t="n"/>
      <c r="E152" s="43" t="n"/>
      <c r="F152" s="28">
        <f>IF($D152="","",IFERROR(VLOOKUP($D152,'Products &amp; Pricing'!$A$14:$D$28,4,FALSE),""))</f>
        <v/>
      </c>
      <c r="G152" s="28">
        <f>IF($D152="","",N(E152)*N(F152))</f>
        <v/>
      </c>
      <c r="H152" s="27" t="n"/>
      <c r="I152" s="27" t="n"/>
      <c r="J152" s="28">
        <f>IF($D152="","",N(G152)+N(H152)-N(I152))</f>
        <v/>
      </c>
      <c r="K152" s="27" t="n"/>
      <c r="L152" s="28">
        <f>IF($D152="","",N(J152)-N(K152))</f>
        <v/>
      </c>
    </row>
    <row r="153">
      <c r="A153" s="38" t="n"/>
      <c r="B153" s="12" t="n"/>
      <c r="C153" s="12" t="n"/>
      <c r="D153" s="12" t="n"/>
      <c r="E153" s="43" t="n"/>
      <c r="F153" s="28">
        <f>IF($D153="","",IFERROR(VLOOKUP($D153,'Products &amp; Pricing'!$A$14:$D$28,4,FALSE),""))</f>
        <v/>
      </c>
      <c r="G153" s="28">
        <f>IF($D153="","",N(E153)*N(F153))</f>
        <v/>
      </c>
      <c r="H153" s="27" t="n"/>
      <c r="I153" s="27" t="n"/>
      <c r="J153" s="28">
        <f>IF($D153="","",N(G153)+N(H153)-N(I153))</f>
        <v/>
      </c>
      <c r="K153" s="27" t="n"/>
      <c r="L153" s="28">
        <f>IF($D153="","",N(J153)-N(K153))</f>
        <v/>
      </c>
    </row>
    <row r="154">
      <c r="A154" s="38" t="n"/>
      <c r="B154" s="12" t="n"/>
      <c r="C154" s="12" t="n"/>
      <c r="D154" s="12" t="n"/>
      <c r="E154" s="43" t="n"/>
      <c r="F154" s="28">
        <f>IF($D154="","",IFERROR(VLOOKUP($D154,'Products &amp; Pricing'!$A$14:$D$28,4,FALSE),""))</f>
        <v/>
      </c>
      <c r="G154" s="28">
        <f>IF($D154="","",N(E154)*N(F154))</f>
        <v/>
      </c>
      <c r="H154" s="27" t="n"/>
      <c r="I154" s="27" t="n"/>
      <c r="J154" s="28">
        <f>IF($D154="","",N(G154)+N(H154)-N(I154))</f>
        <v/>
      </c>
      <c r="K154" s="27" t="n"/>
      <c r="L154" s="28">
        <f>IF($D154="","",N(J154)-N(K154))</f>
        <v/>
      </c>
    </row>
    <row r="155">
      <c r="A155" s="38" t="n"/>
      <c r="B155" s="12" t="n"/>
      <c r="C155" s="12" t="n"/>
      <c r="D155" s="12" t="n"/>
      <c r="E155" s="43" t="n"/>
      <c r="F155" s="28">
        <f>IF($D155="","",IFERROR(VLOOKUP($D155,'Products &amp; Pricing'!$A$14:$D$28,4,FALSE),""))</f>
        <v/>
      </c>
      <c r="G155" s="28">
        <f>IF($D155="","",N(E155)*N(F155))</f>
        <v/>
      </c>
      <c r="H155" s="27" t="n"/>
      <c r="I155" s="27" t="n"/>
      <c r="J155" s="28">
        <f>IF($D155="","",N(G155)+N(H155)-N(I155))</f>
        <v/>
      </c>
      <c r="K155" s="27" t="n"/>
      <c r="L155" s="28">
        <f>IF($D155="","",N(J155)-N(K155))</f>
        <v/>
      </c>
    </row>
    <row r="156">
      <c r="A156" s="38" t="n"/>
      <c r="B156" s="12" t="n"/>
      <c r="C156" s="12" t="n"/>
      <c r="D156" s="12" t="n"/>
      <c r="E156" s="43" t="n"/>
      <c r="F156" s="28">
        <f>IF($D156="","",IFERROR(VLOOKUP($D156,'Products &amp; Pricing'!$A$14:$D$28,4,FALSE),""))</f>
        <v/>
      </c>
      <c r="G156" s="28">
        <f>IF($D156="","",N(E156)*N(F156))</f>
        <v/>
      </c>
      <c r="H156" s="27" t="n"/>
      <c r="I156" s="27" t="n"/>
      <c r="J156" s="28">
        <f>IF($D156="","",N(G156)+N(H156)-N(I156))</f>
        <v/>
      </c>
      <c r="K156" s="27" t="n"/>
      <c r="L156" s="28">
        <f>IF($D156="","",N(J156)-N(K156))</f>
        <v/>
      </c>
    </row>
    <row r="157">
      <c r="A157" s="38" t="n"/>
      <c r="B157" s="12" t="n"/>
      <c r="C157" s="12" t="n"/>
      <c r="D157" s="12" t="n"/>
      <c r="E157" s="43" t="n"/>
      <c r="F157" s="28">
        <f>IF($D157="","",IFERROR(VLOOKUP($D157,'Products &amp; Pricing'!$A$14:$D$28,4,FALSE),""))</f>
        <v/>
      </c>
      <c r="G157" s="28">
        <f>IF($D157="","",N(E157)*N(F157))</f>
        <v/>
      </c>
      <c r="H157" s="27" t="n"/>
      <c r="I157" s="27" t="n"/>
      <c r="J157" s="28">
        <f>IF($D157="","",N(G157)+N(H157)-N(I157))</f>
        <v/>
      </c>
      <c r="K157" s="27" t="n"/>
      <c r="L157" s="28">
        <f>IF($D157="","",N(J157)-N(K157))</f>
        <v/>
      </c>
    </row>
    <row r="158">
      <c r="A158" s="38" t="n"/>
      <c r="B158" s="12" t="n"/>
      <c r="C158" s="12" t="n"/>
      <c r="D158" s="12" t="n"/>
      <c r="E158" s="43" t="n"/>
      <c r="F158" s="28">
        <f>IF($D158="","",IFERROR(VLOOKUP($D158,'Products &amp; Pricing'!$A$14:$D$28,4,FALSE),""))</f>
        <v/>
      </c>
      <c r="G158" s="28">
        <f>IF($D158="","",N(E158)*N(F158))</f>
        <v/>
      </c>
      <c r="H158" s="27" t="n"/>
      <c r="I158" s="27" t="n"/>
      <c r="J158" s="28">
        <f>IF($D158="","",N(G158)+N(H158)-N(I158))</f>
        <v/>
      </c>
      <c r="K158" s="27" t="n"/>
      <c r="L158" s="28">
        <f>IF($D158="","",N(J158)-N(K158))</f>
        <v/>
      </c>
    </row>
    <row r="159">
      <c r="A159" s="38" t="n"/>
      <c r="B159" s="12" t="n"/>
      <c r="C159" s="12" t="n"/>
      <c r="D159" s="12" t="n"/>
      <c r="E159" s="43" t="n"/>
      <c r="F159" s="28">
        <f>IF($D159="","",IFERROR(VLOOKUP($D159,'Products &amp; Pricing'!$A$14:$D$28,4,FALSE),""))</f>
        <v/>
      </c>
      <c r="G159" s="28">
        <f>IF($D159="","",N(E159)*N(F159))</f>
        <v/>
      </c>
      <c r="H159" s="27" t="n"/>
      <c r="I159" s="27" t="n"/>
      <c r="J159" s="28">
        <f>IF($D159="","",N(G159)+N(H159)-N(I159))</f>
        <v/>
      </c>
      <c r="K159" s="27" t="n"/>
      <c r="L159" s="28">
        <f>IF($D159="","",N(J159)-N(K159))</f>
        <v/>
      </c>
    </row>
    <row r="160">
      <c r="A160" s="38" t="n"/>
      <c r="B160" s="12" t="n"/>
      <c r="C160" s="12" t="n"/>
      <c r="D160" s="12" t="n"/>
      <c r="E160" s="43" t="n"/>
      <c r="F160" s="28">
        <f>IF($D160="","",IFERROR(VLOOKUP($D160,'Products &amp; Pricing'!$A$14:$D$28,4,FALSE),""))</f>
        <v/>
      </c>
      <c r="G160" s="28">
        <f>IF($D160="","",N(E160)*N(F160))</f>
        <v/>
      </c>
      <c r="H160" s="27" t="n"/>
      <c r="I160" s="27" t="n"/>
      <c r="J160" s="28">
        <f>IF($D160="","",N(G160)+N(H160)-N(I160))</f>
        <v/>
      </c>
      <c r="K160" s="27" t="n"/>
      <c r="L160" s="28">
        <f>IF($D160="","",N(J160)-N(K160))</f>
        <v/>
      </c>
    </row>
    <row r="161">
      <c r="A161" s="38" t="n"/>
      <c r="B161" s="12" t="n"/>
      <c r="C161" s="12" t="n"/>
      <c r="D161" s="12" t="n"/>
      <c r="E161" s="43" t="n"/>
      <c r="F161" s="28">
        <f>IF($D161="","",IFERROR(VLOOKUP($D161,'Products &amp; Pricing'!$A$14:$D$28,4,FALSE),""))</f>
        <v/>
      </c>
      <c r="G161" s="28">
        <f>IF($D161="","",N(E161)*N(F161))</f>
        <v/>
      </c>
      <c r="H161" s="27" t="n"/>
      <c r="I161" s="27" t="n"/>
      <c r="J161" s="28">
        <f>IF($D161="","",N(G161)+N(H161)-N(I161))</f>
        <v/>
      </c>
      <c r="K161" s="27" t="n"/>
      <c r="L161" s="28">
        <f>IF($D161="","",N(J161)-N(K161))</f>
        <v/>
      </c>
    </row>
    <row r="162">
      <c r="A162" s="38" t="n"/>
      <c r="B162" s="12" t="n"/>
      <c r="C162" s="12" t="n"/>
      <c r="D162" s="12" t="n"/>
      <c r="E162" s="43" t="n"/>
      <c r="F162" s="28">
        <f>IF($D162="","",IFERROR(VLOOKUP($D162,'Products &amp; Pricing'!$A$14:$D$28,4,FALSE),""))</f>
        <v/>
      </c>
      <c r="G162" s="28">
        <f>IF($D162="","",N(E162)*N(F162))</f>
        <v/>
      </c>
      <c r="H162" s="27" t="n"/>
      <c r="I162" s="27" t="n"/>
      <c r="J162" s="28">
        <f>IF($D162="","",N(G162)+N(H162)-N(I162))</f>
        <v/>
      </c>
      <c r="K162" s="27" t="n"/>
      <c r="L162" s="28">
        <f>IF($D162="","",N(J162)-N(K162))</f>
        <v/>
      </c>
    </row>
    <row r="163">
      <c r="A163" s="38" t="n"/>
      <c r="B163" s="12" t="n"/>
      <c r="C163" s="12" t="n"/>
      <c r="D163" s="12" t="n"/>
      <c r="E163" s="43" t="n"/>
      <c r="F163" s="28">
        <f>IF($D163="","",IFERROR(VLOOKUP($D163,'Products &amp; Pricing'!$A$14:$D$28,4,FALSE),""))</f>
        <v/>
      </c>
      <c r="G163" s="28">
        <f>IF($D163="","",N(E163)*N(F163))</f>
        <v/>
      </c>
      <c r="H163" s="27" t="n"/>
      <c r="I163" s="27" t="n"/>
      <c r="J163" s="28">
        <f>IF($D163="","",N(G163)+N(H163)-N(I163))</f>
        <v/>
      </c>
      <c r="K163" s="27" t="n"/>
      <c r="L163" s="28">
        <f>IF($D163="","",N(J163)-N(K163))</f>
        <v/>
      </c>
    </row>
    <row r="164">
      <c r="A164" s="38" t="n"/>
      <c r="B164" s="12" t="n"/>
      <c r="C164" s="12" t="n"/>
      <c r="D164" s="12" t="n"/>
      <c r="E164" s="43" t="n"/>
      <c r="F164" s="28">
        <f>IF($D164="","",IFERROR(VLOOKUP($D164,'Products &amp; Pricing'!$A$14:$D$28,4,FALSE),""))</f>
        <v/>
      </c>
      <c r="G164" s="28">
        <f>IF($D164="","",N(E164)*N(F164))</f>
        <v/>
      </c>
      <c r="H164" s="27" t="n"/>
      <c r="I164" s="27" t="n"/>
      <c r="J164" s="28">
        <f>IF($D164="","",N(G164)+N(H164)-N(I164))</f>
        <v/>
      </c>
      <c r="K164" s="27" t="n"/>
      <c r="L164" s="28">
        <f>IF($D164="","",N(J164)-N(K164))</f>
        <v/>
      </c>
    </row>
    <row r="165">
      <c r="A165" s="38" t="n"/>
      <c r="B165" s="12" t="n"/>
      <c r="C165" s="12" t="n"/>
      <c r="D165" s="12" t="n"/>
      <c r="E165" s="43" t="n"/>
      <c r="F165" s="28">
        <f>IF($D165="","",IFERROR(VLOOKUP($D165,'Products &amp; Pricing'!$A$14:$D$28,4,FALSE),""))</f>
        <v/>
      </c>
      <c r="G165" s="28">
        <f>IF($D165="","",N(E165)*N(F165))</f>
        <v/>
      </c>
      <c r="H165" s="27" t="n"/>
      <c r="I165" s="27" t="n"/>
      <c r="J165" s="28">
        <f>IF($D165="","",N(G165)+N(H165)-N(I165))</f>
        <v/>
      </c>
      <c r="K165" s="27" t="n"/>
      <c r="L165" s="28">
        <f>IF($D165="","",N(J165)-N(K165))</f>
        <v/>
      </c>
    </row>
    <row r="166">
      <c r="A166" s="38" t="n"/>
      <c r="B166" s="12" t="n"/>
      <c r="C166" s="12" t="n"/>
      <c r="D166" s="12" t="n"/>
      <c r="E166" s="43" t="n"/>
      <c r="F166" s="28">
        <f>IF($D166="","",IFERROR(VLOOKUP($D166,'Products &amp; Pricing'!$A$14:$D$28,4,FALSE),""))</f>
        <v/>
      </c>
      <c r="G166" s="28">
        <f>IF($D166="","",N(E166)*N(F166))</f>
        <v/>
      </c>
      <c r="H166" s="27" t="n"/>
      <c r="I166" s="27" t="n"/>
      <c r="J166" s="28">
        <f>IF($D166="","",N(G166)+N(H166)-N(I166))</f>
        <v/>
      </c>
      <c r="K166" s="27" t="n"/>
      <c r="L166" s="28">
        <f>IF($D166="","",N(J166)-N(K166))</f>
        <v/>
      </c>
    </row>
    <row r="167">
      <c r="A167" s="38" t="n"/>
      <c r="B167" s="12" t="n"/>
      <c r="C167" s="12" t="n"/>
      <c r="D167" s="12" t="n"/>
      <c r="E167" s="43" t="n"/>
      <c r="F167" s="28">
        <f>IF($D167="","",IFERROR(VLOOKUP($D167,'Products &amp; Pricing'!$A$14:$D$28,4,FALSE),""))</f>
        <v/>
      </c>
      <c r="G167" s="28">
        <f>IF($D167="","",N(E167)*N(F167))</f>
        <v/>
      </c>
      <c r="H167" s="27" t="n"/>
      <c r="I167" s="27" t="n"/>
      <c r="J167" s="28">
        <f>IF($D167="","",N(G167)+N(H167)-N(I167))</f>
        <v/>
      </c>
      <c r="K167" s="27" t="n"/>
      <c r="L167" s="28">
        <f>IF($D167="","",N(J167)-N(K167))</f>
        <v/>
      </c>
    </row>
    <row r="168">
      <c r="A168" s="38" t="n"/>
      <c r="B168" s="12" t="n"/>
      <c r="C168" s="12" t="n"/>
      <c r="D168" s="12" t="n"/>
      <c r="E168" s="43" t="n"/>
      <c r="F168" s="28">
        <f>IF($D168="","",IFERROR(VLOOKUP($D168,'Products &amp; Pricing'!$A$14:$D$28,4,FALSE),""))</f>
        <v/>
      </c>
      <c r="G168" s="28">
        <f>IF($D168="","",N(E168)*N(F168))</f>
        <v/>
      </c>
      <c r="H168" s="27" t="n"/>
      <c r="I168" s="27" t="n"/>
      <c r="J168" s="28">
        <f>IF($D168="","",N(G168)+N(H168)-N(I168))</f>
        <v/>
      </c>
      <c r="K168" s="27" t="n"/>
      <c r="L168" s="28">
        <f>IF($D168="","",N(J168)-N(K168))</f>
        <v/>
      </c>
    </row>
    <row r="169">
      <c r="A169" s="38" t="n"/>
      <c r="B169" s="12" t="n"/>
      <c r="C169" s="12" t="n"/>
      <c r="D169" s="12" t="n"/>
      <c r="E169" s="43" t="n"/>
      <c r="F169" s="28">
        <f>IF($D169="","",IFERROR(VLOOKUP($D169,'Products &amp; Pricing'!$A$14:$D$28,4,FALSE),""))</f>
        <v/>
      </c>
      <c r="G169" s="28">
        <f>IF($D169="","",N(E169)*N(F169))</f>
        <v/>
      </c>
      <c r="H169" s="27" t="n"/>
      <c r="I169" s="27" t="n"/>
      <c r="J169" s="28">
        <f>IF($D169="","",N(G169)+N(H169)-N(I169))</f>
        <v/>
      </c>
      <c r="K169" s="27" t="n"/>
      <c r="L169" s="28">
        <f>IF($D169="","",N(J169)-N(K169))</f>
        <v/>
      </c>
    </row>
    <row r="170">
      <c r="A170" s="38" t="n"/>
      <c r="B170" s="12" t="n"/>
      <c r="C170" s="12" t="n"/>
      <c r="D170" s="12" t="n"/>
      <c r="E170" s="43" t="n"/>
      <c r="F170" s="28">
        <f>IF($D170="","",IFERROR(VLOOKUP($D170,'Products &amp; Pricing'!$A$14:$D$28,4,FALSE),""))</f>
        <v/>
      </c>
      <c r="G170" s="28">
        <f>IF($D170="","",N(E170)*N(F170))</f>
        <v/>
      </c>
      <c r="H170" s="27" t="n"/>
      <c r="I170" s="27" t="n"/>
      <c r="J170" s="28">
        <f>IF($D170="","",N(G170)+N(H170)-N(I170))</f>
        <v/>
      </c>
      <c r="K170" s="27" t="n"/>
      <c r="L170" s="28">
        <f>IF($D170="","",N(J170)-N(K170))</f>
        <v/>
      </c>
    </row>
    <row r="171">
      <c r="A171" s="38" t="n"/>
      <c r="B171" s="12" t="n"/>
      <c r="C171" s="12" t="n"/>
      <c r="D171" s="12" t="n"/>
      <c r="E171" s="43" t="n"/>
      <c r="F171" s="28">
        <f>IF($D171="","",IFERROR(VLOOKUP($D171,'Products &amp; Pricing'!$A$14:$D$28,4,FALSE),""))</f>
        <v/>
      </c>
      <c r="G171" s="28">
        <f>IF($D171="","",N(E171)*N(F171))</f>
        <v/>
      </c>
      <c r="H171" s="27" t="n"/>
      <c r="I171" s="27" t="n"/>
      <c r="J171" s="28">
        <f>IF($D171="","",N(G171)+N(H171)-N(I171))</f>
        <v/>
      </c>
      <c r="K171" s="27" t="n"/>
      <c r="L171" s="28">
        <f>IF($D171="","",N(J171)-N(K171))</f>
        <v/>
      </c>
    </row>
    <row r="172">
      <c r="A172" s="38" t="n"/>
      <c r="B172" s="12" t="n"/>
      <c r="C172" s="12" t="n"/>
      <c r="D172" s="12" t="n"/>
      <c r="E172" s="43" t="n"/>
      <c r="F172" s="28">
        <f>IF($D172="","",IFERROR(VLOOKUP($D172,'Products &amp; Pricing'!$A$14:$D$28,4,FALSE),""))</f>
        <v/>
      </c>
      <c r="G172" s="28">
        <f>IF($D172="","",N(E172)*N(F172))</f>
        <v/>
      </c>
      <c r="H172" s="27" t="n"/>
      <c r="I172" s="27" t="n"/>
      <c r="J172" s="28">
        <f>IF($D172="","",N(G172)+N(H172)-N(I172))</f>
        <v/>
      </c>
      <c r="K172" s="27" t="n"/>
      <c r="L172" s="28">
        <f>IF($D172="","",N(J172)-N(K172))</f>
        <v/>
      </c>
    </row>
    <row r="173">
      <c r="A173" s="38" t="n"/>
      <c r="B173" s="12" t="n"/>
      <c r="C173" s="12" t="n"/>
      <c r="D173" s="12" t="n"/>
      <c r="E173" s="43" t="n"/>
      <c r="F173" s="28">
        <f>IF($D173="","",IFERROR(VLOOKUP($D173,'Products &amp; Pricing'!$A$14:$D$28,4,FALSE),""))</f>
        <v/>
      </c>
      <c r="G173" s="28">
        <f>IF($D173="","",N(E173)*N(F173))</f>
        <v/>
      </c>
      <c r="H173" s="27" t="n"/>
      <c r="I173" s="27" t="n"/>
      <c r="J173" s="28">
        <f>IF($D173="","",N(G173)+N(H173)-N(I173))</f>
        <v/>
      </c>
      <c r="K173" s="27" t="n"/>
      <c r="L173" s="28">
        <f>IF($D173="","",N(J173)-N(K173))</f>
        <v/>
      </c>
    </row>
    <row r="174">
      <c r="A174" s="38" t="n"/>
      <c r="B174" s="12" t="n"/>
      <c r="C174" s="12" t="n"/>
      <c r="D174" s="12" t="n"/>
      <c r="E174" s="43" t="n"/>
      <c r="F174" s="28">
        <f>IF($D174="","",IFERROR(VLOOKUP($D174,'Products &amp; Pricing'!$A$14:$D$28,4,FALSE),""))</f>
        <v/>
      </c>
      <c r="G174" s="28">
        <f>IF($D174="","",N(E174)*N(F174))</f>
        <v/>
      </c>
      <c r="H174" s="27" t="n"/>
      <c r="I174" s="27" t="n"/>
      <c r="J174" s="28">
        <f>IF($D174="","",N(G174)+N(H174)-N(I174))</f>
        <v/>
      </c>
      <c r="K174" s="27" t="n"/>
      <c r="L174" s="28">
        <f>IF($D174="","",N(J174)-N(K174))</f>
        <v/>
      </c>
    </row>
    <row r="175">
      <c r="A175" s="38" t="n"/>
      <c r="B175" s="12" t="n"/>
      <c r="C175" s="12" t="n"/>
      <c r="D175" s="12" t="n"/>
      <c r="E175" s="43" t="n"/>
      <c r="F175" s="28">
        <f>IF($D175="","",IFERROR(VLOOKUP($D175,'Products &amp; Pricing'!$A$14:$D$28,4,FALSE),""))</f>
        <v/>
      </c>
      <c r="G175" s="28">
        <f>IF($D175="","",N(E175)*N(F175))</f>
        <v/>
      </c>
      <c r="H175" s="27" t="n"/>
      <c r="I175" s="27" t="n"/>
      <c r="J175" s="28">
        <f>IF($D175="","",N(G175)+N(H175)-N(I175))</f>
        <v/>
      </c>
      <c r="K175" s="27" t="n"/>
      <c r="L175" s="28">
        <f>IF($D175="","",N(J175)-N(K175))</f>
        <v/>
      </c>
    </row>
    <row r="176">
      <c r="A176" s="38" t="n"/>
      <c r="B176" s="12" t="n"/>
      <c r="C176" s="12" t="n"/>
      <c r="D176" s="12" t="n"/>
      <c r="E176" s="43" t="n"/>
      <c r="F176" s="28">
        <f>IF($D176="","",IFERROR(VLOOKUP($D176,'Products &amp; Pricing'!$A$14:$D$28,4,FALSE),""))</f>
        <v/>
      </c>
      <c r="G176" s="28">
        <f>IF($D176="","",N(E176)*N(F176))</f>
        <v/>
      </c>
      <c r="H176" s="27" t="n"/>
      <c r="I176" s="27" t="n"/>
      <c r="J176" s="28">
        <f>IF($D176="","",N(G176)+N(H176)-N(I176))</f>
        <v/>
      </c>
      <c r="K176" s="27" t="n"/>
      <c r="L176" s="28">
        <f>IF($D176="","",N(J176)-N(K176))</f>
        <v/>
      </c>
    </row>
    <row r="177">
      <c r="A177" s="38" t="n"/>
      <c r="B177" s="12" t="n"/>
      <c r="C177" s="12" t="n"/>
      <c r="D177" s="12" t="n"/>
      <c r="E177" s="43" t="n"/>
      <c r="F177" s="28">
        <f>IF($D177="","",IFERROR(VLOOKUP($D177,'Products &amp; Pricing'!$A$14:$D$28,4,FALSE),""))</f>
        <v/>
      </c>
      <c r="G177" s="28">
        <f>IF($D177="","",N(E177)*N(F177))</f>
        <v/>
      </c>
      <c r="H177" s="27" t="n"/>
      <c r="I177" s="27" t="n"/>
      <c r="J177" s="28">
        <f>IF($D177="","",N(G177)+N(H177)-N(I177))</f>
        <v/>
      </c>
      <c r="K177" s="27" t="n"/>
      <c r="L177" s="28">
        <f>IF($D177="","",N(J177)-N(K177))</f>
        <v/>
      </c>
    </row>
    <row r="178">
      <c r="A178" s="38" t="n"/>
      <c r="B178" s="12" t="n"/>
      <c r="C178" s="12" t="n"/>
      <c r="D178" s="12" t="n"/>
      <c r="E178" s="43" t="n"/>
      <c r="F178" s="28">
        <f>IF($D178="","",IFERROR(VLOOKUP($D178,'Products &amp; Pricing'!$A$14:$D$28,4,FALSE),""))</f>
        <v/>
      </c>
      <c r="G178" s="28">
        <f>IF($D178="","",N(E178)*N(F178))</f>
        <v/>
      </c>
      <c r="H178" s="27" t="n"/>
      <c r="I178" s="27" t="n"/>
      <c r="J178" s="28">
        <f>IF($D178="","",N(G178)+N(H178)-N(I178))</f>
        <v/>
      </c>
      <c r="K178" s="27" t="n"/>
      <c r="L178" s="28">
        <f>IF($D178="","",N(J178)-N(K178))</f>
        <v/>
      </c>
    </row>
    <row r="179">
      <c r="A179" s="38" t="n"/>
      <c r="B179" s="12" t="n"/>
      <c r="C179" s="12" t="n"/>
      <c r="D179" s="12" t="n"/>
      <c r="E179" s="43" t="n"/>
      <c r="F179" s="28">
        <f>IF($D179="","",IFERROR(VLOOKUP($D179,'Products &amp; Pricing'!$A$14:$D$28,4,FALSE),""))</f>
        <v/>
      </c>
      <c r="G179" s="28">
        <f>IF($D179="","",N(E179)*N(F179))</f>
        <v/>
      </c>
      <c r="H179" s="27" t="n"/>
      <c r="I179" s="27" t="n"/>
      <c r="J179" s="28">
        <f>IF($D179="","",N(G179)+N(H179)-N(I179))</f>
        <v/>
      </c>
      <c r="K179" s="27" t="n"/>
      <c r="L179" s="28">
        <f>IF($D179="","",N(J179)-N(K179))</f>
        <v/>
      </c>
    </row>
    <row r="180">
      <c r="A180" s="38" t="n"/>
      <c r="B180" s="12" t="n"/>
      <c r="C180" s="12" t="n"/>
      <c r="D180" s="12" t="n"/>
      <c r="E180" s="43" t="n"/>
      <c r="F180" s="28">
        <f>IF($D180="","",IFERROR(VLOOKUP($D180,'Products &amp; Pricing'!$A$14:$D$28,4,FALSE),""))</f>
        <v/>
      </c>
      <c r="G180" s="28">
        <f>IF($D180="","",N(E180)*N(F180))</f>
        <v/>
      </c>
      <c r="H180" s="27" t="n"/>
      <c r="I180" s="27" t="n"/>
      <c r="J180" s="28">
        <f>IF($D180="","",N(G180)+N(H180)-N(I180))</f>
        <v/>
      </c>
      <c r="K180" s="27" t="n"/>
      <c r="L180" s="28">
        <f>IF($D180="","",N(J180)-N(K180))</f>
        <v/>
      </c>
    </row>
    <row r="181">
      <c r="A181" s="38" t="n"/>
      <c r="B181" s="12" t="n"/>
      <c r="C181" s="12" t="n"/>
      <c r="D181" s="12" t="n"/>
      <c r="E181" s="43" t="n"/>
      <c r="F181" s="28">
        <f>IF($D181="","",IFERROR(VLOOKUP($D181,'Products &amp; Pricing'!$A$14:$D$28,4,FALSE),""))</f>
        <v/>
      </c>
      <c r="G181" s="28">
        <f>IF($D181="","",N(E181)*N(F181))</f>
        <v/>
      </c>
      <c r="H181" s="27" t="n"/>
      <c r="I181" s="27" t="n"/>
      <c r="J181" s="28">
        <f>IF($D181="","",N(G181)+N(H181)-N(I181))</f>
        <v/>
      </c>
      <c r="K181" s="27" t="n"/>
      <c r="L181" s="28">
        <f>IF($D181="","",N(J181)-N(K181))</f>
        <v/>
      </c>
    </row>
    <row r="182">
      <c r="A182" s="38" t="n"/>
      <c r="B182" s="12" t="n"/>
      <c r="C182" s="12" t="n"/>
      <c r="D182" s="12" t="n"/>
      <c r="E182" s="43" t="n"/>
      <c r="F182" s="28">
        <f>IF($D182="","",IFERROR(VLOOKUP($D182,'Products &amp; Pricing'!$A$14:$D$28,4,FALSE),""))</f>
        <v/>
      </c>
      <c r="G182" s="28">
        <f>IF($D182="","",N(E182)*N(F182))</f>
        <v/>
      </c>
      <c r="H182" s="27" t="n"/>
      <c r="I182" s="27" t="n"/>
      <c r="J182" s="28">
        <f>IF($D182="","",N(G182)+N(H182)-N(I182))</f>
        <v/>
      </c>
      <c r="K182" s="27" t="n"/>
      <c r="L182" s="28">
        <f>IF($D182="","",N(J182)-N(K182))</f>
        <v/>
      </c>
    </row>
    <row r="183">
      <c r="A183" s="38" t="n"/>
      <c r="B183" s="12" t="n"/>
      <c r="C183" s="12" t="n"/>
      <c r="D183" s="12" t="n"/>
      <c r="E183" s="43" t="n"/>
      <c r="F183" s="28">
        <f>IF($D183="","",IFERROR(VLOOKUP($D183,'Products &amp; Pricing'!$A$14:$D$28,4,FALSE),""))</f>
        <v/>
      </c>
      <c r="G183" s="28">
        <f>IF($D183="","",N(E183)*N(F183))</f>
        <v/>
      </c>
      <c r="H183" s="27" t="n"/>
      <c r="I183" s="27" t="n"/>
      <c r="J183" s="28">
        <f>IF($D183="","",N(G183)+N(H183)-N(I183))</f>
        <v/>
      </c>
      <c r="K183" s="27" t="n"/>
      <c r="L183" s="28">
        <f>IF($D183="","",N(J183)-N(K183))</f>
        <v/>
      </c>
    </row>
    <row r="184">
      <c r="A184" s="38" t="n"/>
      <c r="B184" s="12" t="n"/>
      <c r="C184" s="12" t="n"/>
      <c r="D184" s="12" t="n"/>
      <c r="E184" s="43" t="n"/>
      <c r="F184" s="28">
        <f>IF($D184="","",IFERROR(VLOOKUP($D184,'Products &amp; Pricing'!$A$14:$D$28,4,FALSE),""))</f>
        <v/>
      </c>
      <c r="G184" s="28">
        <f>IF($D184="","",N(E184)*N(F184))</f>
        <v/>
      </c>
      <c r="H184" s="27" t="n"/>
      <c r="I184" s="27" t="n"/>
      <c r="J184" s="28">
        <f>IF($D184="","",N(G184)+N(H184)-N(I184))</f>
        <v/>
      </c>
      <c r="K184" s="27" t="n"/>
      <c r="L184" s="28">
        <f>IF($D184="","",N(J184)-N(K184))</f>
        <v/>
      </c>
    </row>
    <row r="185">
      <c r="A185" s="38" t="n"/>
      <c r="B185" s="12" t="n"/>
      <c r="C185" s="12" t="n"/>
      <c r="D185" s="12" t="n"/>
      <c r="E185" s="43" t="n"/>
      <c r="F185" s="28">
        <f>IF($D185="","",IFERROR(VLOOKUP($D185,'Products &amp; Pricing'!$A$14:$D$28,4,FALSE),""))</f>
        <v/>
      </c>
      <c r="G185" s="28">
        <f>IF($D185="","",N(E185)*N(F185))</f>
        <v/>
      </c>
      <c r="H185" s="27" t="n"/>
      <c r="I185" s="27" t="n"/>
      <c r="J185" s="28">
        <f>IF($D185="","",N(G185)+N(H185)-N(I185))</f>
        <v/>
      </c>
      <c r="K185" s="27" t="n"/>
      <c r="L185" s="28">
        <f>IF($D185="","",N(J185)-N(K185))</f>
        <v/>
      </c>
    </row>
    <row r="186">
      <c r="A186" s="38" t="n"/>
      <c r="B186" s="12" t="n"/>
      <c r="C186" s="12" t="n"/>
      <c r="D186" s="12" t="n"/>
      <c r="E186" s="43" t="n"/>
      <c r="F186" s="28">
        <f>IF($D186="","",IFERROR(VLOOKUP($D186,'Products &amp; Pricing'!$A$14:$D$28,4,FALSE),""))</f>
        <v/>
      </c>
      <c r="G186" s="28">
        <f>IF($D186="","",N(E186)*N(F186))</f>
        <v/>
      </c>
      <c r="H186" s="27" t="n"/>
      <c r="I186" s="27" t="n"/>
      <c r="J186" s="28">
        <f>IF($D186="","",N(G186)+N(H186)-N(I186))</f>
        <v/>
      </c>
      <c r="K186" s="27" t="n"/>
      <c r="L186" s="28">
        <f>IF($D186="","",N(J186)-N(K186))</f>
        <v/>
      </c>
    </row>
    <row r="187">
      <c r="A187" s="38" t="n"/>
      <c r="B187" s="12" t="n"/>
      <c r="C187" s="12" t="n"/>
      <c r="D187" s="12" t="n"/>
      <c r="E187" s="43" t="n"/>
      <c r="F187" s="28">
        <f>IF($D187="","",IFERROR(VLOOKUP($D187,'Products &amp; Pricing'!$A$14:$D$28,4,FALSE),""))</f>
        <v/>
      </c>
      <c r="G187" s="28">
        <f>IF($D187="","",N(E187)*N(F187))</f>
        <v/>
      </c>
      <c r="H187" s="27" t="n"/>
      <c r="I187" s="27" t="n"/>
      <c r="J187" s="28">
        <f>IF($D187="","",N(G187)+N(H187)-N(I187))</f>
        <v/>
      </c>
      <c r="K187" s="27" t="n"/>
      <c r="L187" s="28">
        <f>IF($D187="","",N(J187)-N(K187))</f>
        <v/>
      </c>
    </row>
    <row r="188">
      <c r="A188" s="38" t="n"/>
      <c r="B188" s="12" t="n"/>
      <c r="C188" s="12" t="n"/>
      <c r="D188" s="12" t="n"/>
      <c r="E188" s="43" t="n"/>
      <c r="F188" s="28">
        <f>IF($D188="","",IFERROR(VLOOKUP($D188,'Products &amp; Pricing'!$A$14:$D$28,4,FALSE),""))</f>
        <v/>
      </c>
      <c r="G188" s="28">
        <f>IF($D188="","",N(E188)*N(F188))</f>
        <v/>
      </c>
      <c r="H188" s="27" t="n"/>
      <c r="I188" s="27" t="n"/>
      <c r="J188" s="28">
        <f>IF($D188="","",N(G188)+N(H188)-N(I188))</f>
        <v/>
      </c>
      <c r="K188" s="27" t="n"/>
      <c r="L188" s="28">
        <f>IF($D188="","",N(J188)-N(K188))</f>
        <v/>
      </c>
    </row>
    <row r="189">
      <c r="A189" s="38" t="n"/>
      <c r="B189" s="12" t="n"/>
      <c r="C189" s="12" t="n"/>
      <c r="D189" s="12" t="n"/>
      <c r="E189" s="43" t="n"/>
      <c r="F189" s="28">
        <f>IF($D189="","",IFERROR(VLOOKUP($D189,'Products &amp; Pricing'!$A$14:$D$28,4,FALSE),""))</f>
        <v/>
      </c>
      <c r="G189" s="28">
        <f>IF($D189="","",N(E189)*N(F189))</f>
        <v/>
      </c>
      <c r="H189" s="27" t="n"/>
      <c r="I189" s="27" t="n"/>
      <c r="J189" s="28">
        <f>IF($D189="","",N(G189)+N(H189)-N(I189))</f>
        <v/>
      </c>
      <c r="K189" s="27" t="n"/>
      <c r="L189" s="28">
        <f>IF($D189="","",N(J189)-N(K189))</f>
        <v/>
      </c>
    </row>
    <row r="190">
      <c r="A190" s="38" t="n"/>
      <c r="B190" s="12" t="n"/>
      <c r="C190" s="12" t="n"/>
      <c r="D190" s="12" t="n"/>
      <c r="E190" s="43" t="n"/>
      <c r="F190" s="28">
        <f>IF($D190="","",IFERROR(VLOOKUP($D190,'Products &amp; Pricing'!$A$14:$D$28,4,FALSE),""))</f>
        <v/>
      </c>
      <c r="G190" s="28">
        <f>IF($D190="","",N(E190)*N(F190))</f>
        <v/>
      </c>
      <c r="H190" s="27" t="n"/>
      <c r="I190" s="27" t="n"/>
      <c r="J190" s="28">
        <f>IF($D190="","",N(G190)+N(H190)-N(I190))</f>
        <v/>
      </c>
      <c r="K190" s="27" t="n"/>
      <c r="L190" s="28">
        <f>IF($D190="","",N(J190)-N(K190))</f>
        <v/>
      </c>
    </row>
    <row r="191">
      <c r="A191" s="38" t="n"/>
      <c r="B191" s="12" t="n"/>
      <c r="C191" s="12" t="n"/>
      <c r="D191" s="12" t="n"/>
      <c r="E191" s="43" t="n"/>
      <c r="F191" s="28">
        <f>IF($D191="","",IFERROR(VLOOKUP($D191,'Products &amp; Pricing'!$A$14:$D$28,4,FALSE),""))</f>
        <v/>
      </c>
      <c r="G191" s="28">
        <f>IF($D191="","",N(E191)*N(F191))</f>
        <v/>
      </c>
      <c r="H191" s="27" t="n"/>
      <c r="I191" s="27" t="n"/>
      <c r="J191" s="28">
        <f>IF($D191="","",N(G191)+N(H191)-N(I191))</f>
        <v/>
      </c>
      <c r="K191" s="27" t="n"/>
      <c r="L191" s="28">
        <f>IF($D191="","",N(J191)-N(K191))</f>
        <v/>
      </c>
    </row>
    <row r="192">
      <c r="A192" s="38" t="n"/>
      <c r="B192" s="12" t="n"/>
      <c r="C192" s="12" t="n"/>
      <c r="D192" s="12" t="n"/>
      <c r="E192" s="43" t="n"/>
      <c r="F192" s="28">
        <f>IF($D192="","",IFERROR(VLOOKUP($D192,'Products &amp; Pricing'!$A$14:$D$28,4,FALSE),""))</f>
        <v/>
      </c>
      <c r="G192" s="28">
        <f>IF($D192="","",N(E192)*N(F192))</f>
        <v/>
      </c>
      <c r="H192" s="27" t="n"/>
      <c r="I192" s="27" t="n"/>
      <c r="J192" s="28">
        <f>IF($D192="","",N(G192)+N(H192)-N(I192))</f>
        <v/>
      </c>
      <c r="K192" s="27" t="n"/>
      <c r="L192" s="28">
        <f>IF($D192="","",N(J192)-N(K192))</f>
        <v/>
      </c>
    </row>
    <row r="193">
      <c r="A193" s="38" t="n"/>
      <c r="B193" s="12" t="n"/>
      <c r="C193" s="12" t="n"/>
      <c r="D193" s="12" t="n"/>
      <c r="E193" s="43" t="n"/>
      <c r="F193" s="28">
        <f>IF($D193="","",IFERROR(VLOOKUP($D193,'Products &amp; Pricing'!$A$14:$D$28,4,FALSE),""))</f>
        <v/>
      </c>
      <c r="G193" s="28">
        <f>IF($D193="","",N(E193)*N(F193))</f>
        <v/>
      </c>
      <c r="H193" s="27" t="n"/>
      <c r="I193" s="27" t="n"/>
      <c r="J193" s="28">
        <f>IF($D193="","",N(G193)+N(H193)-N(I193))</f>
        <v/>
      </c>
      <c r="K193" s="27" t="n"/>
      <c r="L193" s="28">
        <f>IF($D193="","",N(J193)-N(K193))</f>
        <v/>
      </c>
    </row>
    <row r="194">
      <c r="A194" s="38" t="n"/>
      <c r="B194" s="12" t="n"/>
      <c r="C194" s="12" t="n"/>
      <c r="D194" s="12" t="n"/>
      <c r="E194" s="43" t="n"/>
      <c r="F194" s="28">
        <f>IF($D194="","",IFERROR(VLOOKUP($D194,'Products &amp; Pricing'!$A$14:$D$28,4,FALSE),""))</f>
        <v/>
      </c>
      <c r="G194" s="28">
        <f>IF($D194="","",N(E194)*N(F194))</f>
        <v/>
      </c>
      <c r="H194" s="27" t="n"/>
      <c r="I194" s="27" t="n"/>
      <c r="J194" s="28">
        <f>IF($D194="","",N(G194)+N(H194)-N(I194))</f>
        <v/>
      </c>
      <c r="K194" s="27" t="n"/>
      <c r="L194" s="28">
        <f>IF($D194="","",N(J194)-N(K194))</f>
        <v/>
      </c>
    </row>
    <row r="195">
      <c r="A195" s="38" t="n"/>
      <c r="B195" s="12" t="n"/>
      <c r="C195" s="12" t="n"/>
      <c r="D195" s="12" t="n"/>
      <c r="E195" s="43" t="n"/>
      <c r="F195" s="28">
        <f>IF($D195="","",IFERROR(VLOOKUP($D195,'Products &amp; Pricing'!$A$14:$D$28,4,FALSE),""))</f>
        <v/>
      </c>
      <c r="G195" s="28">
        <f>IF($D195="","",N(E195)*N(F195))</f>
        <v/>
      </c>
      <c r="H195" s="27" t="n"/>
      <c r="I195" s="27" t="n"/>
      <c r="J195" s="28">
        <f>IF($D195="","",N(G195)+N(H195)-N(I195))</f>
        <v/>
      </c>
      <c r="K195" s="27" t="n"/>
      <c r="L195" s="28">
        <f>IF($D195="","",N(J195)-N(K195))</f>
        <v/>
      </c>
    </row>
    <row r="196">
      <c r="A196" s="38" t="n"/>
      <c r="B196" s="12" t="n"/>
      <c r="C196" s="12" t="n"/>
      <c r="D196" s="12" t="n"/>
      <c r="E196" s="43" t="n"/>
      <c r="F196" s="28">
        <f>IF($D196="","",IFERROR(VLOOKUP($D196,'Products &amp; Pricing'!$A$14:$D$28,4,FALSE),""))</f>
        <v/>
      </c>
      <c r="G196" s="28">
        <f>IF($D196="","",N(E196)*N(F196))</f>
        <v/>
      </c>
      <c r="H196" s="27" t="n"/>
      <c r="I196" s="27" t="n"/>
      <c r="J196" s="28">
        <f>IF($D196="","",N(G196)+N(H196)-N(I196))</f>
        <v/>
      </c>
      <c r="K196" s="27" t="n"/>
      <c r="L196" s="28">
        <f>IF($D196="","",N(J196)-N(K196))</f>
        <v/>
      </c>
    </row>
    <row r="197">
      <c r="A197" s="38" t="n"/>
      <c r="B197" s="12" t="n"/>
      <c r="C197" s="12" t="n"/>
      <c r="D197" s="12" t="n"/>
      <c r="E197" s="43" t="n"/>
      <c r="F197" s="28">
        <f>IF($D197="","",IFERROR(VLOOKUP($D197,'Products &amp; Pricing'!$A$14:$D$28,4,FALSE),""))</f>
        <v/>
      </c>
      <c r="G197" s="28">
        <f>IF($D197="","",N(E197)*N(F197))</f>
        <v/>
      </c>
      <c r="H197" s="27" t="n"/>
      <c r="I197" s="27" t="n"/>
      <c r="J197" s="28">
        <f>IF($D197="","",N(G197)+N(H197)-N(I197))</f>
        <v/>
      </c>
      <c r="K197" s="27" t="n"/>
      <c r="L197" s="28">
        <f>IF($D197="","",N(J197)-N(K197))</f>
        <v/>
      </c>
    </row>
    <row r="198">
      <c r="A198" s="38" t="n"/>
      <c r="B198" s="12" t="n"/>
      <c r="C198" s="12" t="n"/>
      <c r="D198" s="12" t="n"/>
      <c r="E198" s="43" t="n"/>
      <c r="F198" s="28">
        <f>IF($D198="","",IFERROR(VLOOKUP($D198,'Products &amp; Pricing'!$A$14:$D$28,4,FALSE),""))</f>
        <v/>
      </c>
      <c r="G198" s="28">
        <f>IF($D198="","",N(E198)*N(F198))</f>
        <v/>
      </c>
      <c r="H198" s="27" t="n"/>
      <c r="I198" s="27" t="n"/>
      <c r="J198" s="28">
        <f>IF($D198="","",N(G198)+N(H198)-N(I198))</f>
        <v/>
      </c>
      <c r="K198" s="27" t="n"/>
      <c r="L198" s="28">
        <f>IF($D198="","",N(J198)-N(K198))</f>
        <v/>
      </c>
    </row>
    <row r="199">
      <c r="A199" s="38" t="n"/>
      <c r="B199" s="12" t="n"/>
      <c r="C199" s="12" t="n"/>
      <c r="D199" s="12" t="n"/>
      <c r="E199" s="43" t="n"/>
      <c r="F199" s="28">
        <f>IF($D199="","",IFERROR(VLOOKUP($D199,'Products &amp; Pricing'!$A$14:$D$28,4,FALSE),""))</f>
        <v/>
      </c>
      <c r="G199" s="28">
        <f>IF($D199="","",N(E199)*N(F199))</f>
        <v/>
      </c>
      <c r="H199" s="27" t="n"/>
      <c r="I199" s="27" t="n"/>
      <c r="J199" s="28">
        <f>IF($D199="","",N(G199)+N(H199)-N(I199))</f>
        <v/>
      </c>
      <c r="K199" s="27" t="n"/>
      <c r="L199" s="28">
        <f>IF($D199="","",N(J199)-N(K199))</f>
        <v/>
      </c>
    </row>
    <row r="200">
      <c r="A200" s="38" t="n"/>
      <c r="B200" s="12" t="n"/>
      <c r="C200" s="12" t="n"/>
      <c r="D200" s="12" t="n"/>
      <c r="E200" s="43" t="n"/>
      <c r="F200" s="28">
        <f>IF($D200="","",IFERROR(VLOOKUP($D200,'Products &amp; Pricing'!$A$14:$D$28,4,FALSE),""))</f>
        <v/>
      </c>
      <c r="G200" s="28">
        <f>IF($D200="","",N(E200)*N(F200))</f>
        <v/>
      </c>
      <c r="H200" s="27" t="n"/>
      <c r="I200" s="27" t="n"/>
      <c r="J200" s="28">
        <f>IF($D200="","",N(G200)+N(H200)-N(I200))</f>
        <v/>
      </c>
      <c r="K200" s="27" t="n"/>
      <c r="L200" s="28">
        <f>IF($D200="","",N(J200)-N(K200))</f>
        <v/>
      </c>
    </row>
    <row r="201">
      <c r="A201" s="38" t="n"/>
      <c r="B201" s="12" t="n"/>
      <c r="C201" s="12" t="n"/>
      <c r="D201" s="12" t="n"/>
      <c r="E201" s="43" t="n"/>
      <c r="F201" s="28">
        <f>IF($D201="","",IFERROR(VLOOKUP($D201,'Products &amp; Pricing'!$A$14:$D$28,4,FALSE),""))</f>
        <v/>
      </c>
      <c r="G201" s="28">
        <f>IF($D201="","",N(E201)*N(F201))</f>
        <v/>
      </c>
      <c r="H201" s="27" t="n"/>
      <c r="I201" s="27" t="n"/>
      <c r="J201" s="28">
        <f>IF($D201="","",N(G201)+N(H201)-N(I201))</f>
        <v/>
      </c>
      <c r="K201" s="27" t="n"/>
      <c r="L201" s="28">
        <f>IF($D201="","",N(J201)-N(K201))</f>
        <v/>
      </c>
    </row>
    <row r="202">
      <c r="A202" s="38" t="n"/>
      <c r="B202" s="12" t="n"/>
      <c r="C202" s="12" t="n"/>
      <c r="D202" s="12" t="n"/>
      <c r="E202" s="43" t="n"/>
      <c r="F202" s="28">
        <f>IF($D202="","",IFERROR(VLOOKUP($D202,'Products &amp; Pricing'!$A$14:$D$28,4,FALSE),""))</f>
        <v/>
      </c>
      <c r="G202" s="28">
        <f>IF($D202="","",N(E202)*N(F202))</f>
        <v/>
      </c>
      <c r="H202" s="27" t="n"/>
      <c r="I202" s="27" t="n"/>
      <c r="J202" s="28">
        <f>IF($D202="","",N(G202)+N(H202)-N(I202))</f>
        <v/>
      </c>
      <c r="K202" s="27" t="n"/>
      <c r="L202" s="28">
        <f>IF($D202="","",N(J202)-N(K202))</f>
        <v/>
      </c>
    </row>
    <row r="203">
      <c r="A203" s="38" t="n"/>
      <c r="B203" s="12" t="n"/>
      <c r="C203" s="12" t="n"/>
      <c r="D203" s="12" t="n"/>
      <c r="E203" s="43" t="n"/>
      <c r="F203" s="28">
        <f>IF($D203="","",IFERROR(VLOOKUP($D203,'Products &amp; Pricing'!$A$14:$D$28,4,FALSE),""))</f>
        <v/>
      </c>
      <c r="G203" s="28">
        <f>IF($D203="","",N(E203)*N(F203))</f>
        <v/>
      </c>
      <c r="H203" s="27" t="n"/>
      <c r="I203" s="27" t="n"/>
      <c r="J203" s="28">
        <f>IF($D203="","",N(G203)+N(H203)-N(I203))</f>
        <v/>
      </c>
      <c r="K203" s="27" t="n"/>
      <c r="L203" s="28">
        <f>IF($D203="","",N(J203)-N(K203))</f>
        <v/>
      </c>
    </row>
    <row r="204">
      <c r="A204" s="38" t="n"/>
      <c r="B204" s="12" t="n"/>
      <c r="C204" s="12" t="n"/>
      <c r="D204" s="12" t="n"/>
      <c r="E204" s="43" t="n"/>
      <c r="F204" s="28">
        <f>IF($D204="","",IFERROR(VLOOKUP($D204,'Products &amp; Pricing'!$A$14:$D$28,4,FALSE),""))</f>
        <v/>
      </c>
      <c r="G204" s="28">
        <f>IF($D204="","",N(E204)*N(F204))</f>
        <v/>
      </c>
      <c r="H204" s="27" t="n"/>
      <c r="I204" s="27" t="n"/>
      <c r="J204" s="28">
        <f>IF($D204="","",N(G204)+N(H204)-N(I204))</f>
        <v/>
      </c>
      <c r="K204" s="27" t="n"/>
      <c r="L204" s="28">
        <f>IF($D204="","",N(J204)-N(K204))</f>
        <v/>
      </c>
    </row>
    <row r="205">
      <c r="A205" s="38" t="n"/>
      <c r="B205" s="12" t="n"/>
      <c r="C205" s="12" t="n"/>
      <c r="D205" s="12" t="n"/>
      <c r="E205" s="43" t="n"/>
      <c r="F205" s="28">
        <f>IF($D205="","",IFERROR(VLOOKUP($D205,'Products &amp; Pricing'!$A$14:$D$28,4,FALSE),""))</f>
        <v/>
      </c>
      <c r="G205" s="28">
        <f>IF($D205="","",N(E205)*N(F205))</f>
        <v/>
      </c>
      <c r="H205" s="27" t="n"/>
      <c r="I205" s="27" t="n"/>
      <c r="J205" s="28">
        <f>IF($D205="","",N(G205)+N(H205)-N(I205))</f>
        <v/>
      </c>
      <c r="K205" s="27" t="n"/>
      <c r="L205" s="28">
        <f>IF($D205="","",N(J205)-N(K205))</f>
        <v/>
      </c>
    </row>
    <row r="206">
      <c r="A206" s="38" t="n"/>
      <c r="B206" s="12" t="n"/>
      <c r="C206" s="12" t="n"/>
      <c r="D206" s="12" t="n"/>
      <c r="E206" s="43" t="n"/>
      <c r="F206" s="28">
        <f>IF($D206="","",IFERROR(VLOOKUP($D206,'Products &amp; Pricing'!$A$14:$D$28,4,FALSE),""))</f>
        <v/>
      </c>
      <c r="G206" s="28">
        <f>IF($D206="","",N(E206)*N(F206))</f>
        <v/>
      </c>
      <c r="H206" s="27" t="n"/>
      <c r="I206" s="27" t="n"/>
      <c r="J206" s="28">
        <f>IF($D206="","",N(G206)+N(H206)-N(I206))</f>
        <v/>
      </c>
      <c r="K206" s="27" t="n"/>
      <c r="L206" s="28">
        <f>IF($D206="","",N(J206)-N(K206))</f>
        <v/>
      </c>
    </row>
    <row r="207">
      <c r="A207" s="38" t="n"/>
      <c r="B207" s="12" t="n"/>
      <c r="C207" s="12" t="n"/>
      <c r="D207" s="12" t="n"/>
      <c r="E207" s="43" t="n"/>
      <c r="F207" s="28">
        <f>IF($D207="","",IFERROR(VLOOKUP($D207,'Products &amp; Pricing'!$A$14:$D$28,4,FALSE),""))</f>
        <v/>
      </c>
      <c r="G207" s="28">
        <f>IF($D207="","",N(E207)*N(F207))</f>
        <v/>
      </c>
      <c r="H207" s="27" t="n"/>
      <c r="I207" s="27" t="n"/>
      <c r="J207" s="28">
        <f>IF($D207="","",N(G207)+N(H207)-N(I207))</f>
        <v/>
      </c>
      <c r="K207" s="27" t="n"/>
      <c r="L207" s="28">
        <f>IF($D207="","",N(J207)-N(K207))</f>
        <v/>
      </c>
    </row>
    <row r="208">
      <c r="A208" s="38" t="n"/>
      <c r="B208" s="12" t="n"/>
      <c r="C208" s="12" t="n"/>
      <c r="D208" s="12" t="n"/>
      <c r="E208" s="43" t="n"/>
      <c r="F208" s="28">
        <f>IF($D208="","",IFERROR(VLOOKUP($D208,'Products &amp; Pricing'!$A$14:$D$28,4,FALSE),""))</f>
        <v/>
      </c>
      <c r="G208" s="28">
        <f>IF($D208="","",N(E208)*N(F208))</f>
        <v/>
      </c>
      <c r="H208" s="27" t="n"/>
      <c r="I208" s="27" t="n"/>
      <c r="J208" s="28">
        <f>IF($D208="","",N(G208)+N(H208)-N(I208))</f>
        <v/>
      </c>
      <c r="K208" s="27" t="n"/>
      <c r="L208" s="28">
        <f>IF($D208="","",N(J208)-N(K208))</f>
        <v/>
      </c>
    </row>
    <row r="209">
      <c r="A209" s="38" t="n"/>
      <c r="B209" s="12" t="n"/>
      <c r="C209" s="12" t="n"/>
      <c r="D209" s="12" t="n"/>
      <c r="E209" s="43" t="n"/>
      <c r="F209" s="28">
        <f>IF($D209="","",IFERROR(VLOOKUP($D209,'Products &amp; Pricing'!$A$14:$D$28,4,FALSE),""))</f>
        <v/>
      </c>
      <c r="G209" s="28">
        <f>IF($D209="","",N(E209)*N(F209))</f>
        <v/>
      </c>
      <c r="H209" s="27" t="n"/>
      <c r="I209" s="27" t="n"/>
      <c r="J209" s="28">
        <f>IF($D209="","",N(G209)+N(H209)-N(I209))</f>
        <v/>
      </c>
      <c r="K209" s="27" t="n"/>
      <c r="L209" s="28">
        <f>IF($D209="","",N(J209)-N(K209))</f>
        <v/>
      </c>
    </row>
    <row r="210">
      <c r="A210" s="38" t="n"/>
      <c r="B210" s="12" t="n"/>
      <c r="C210" s="12" t="n"/>
      <c r="D210" s="12" t="n"/>
      <c r="E210" s="43" t="n"/>
      <c r="F210" s="28">
        <f>IF($D210="","",IFERROR(VLOOKUP($D210,'Products &amp; Pricing'!$A$14:$D$28,4,FALSE),""))</f>
        <v/>
      </c>
      <c r="G210" s="28">
        <f>IF($D210="","",N(E210)*N(F210))</f>
        <v/>
      </c>
      <c r="H210" s="27" t="n"/>
      <c r="I210" s="27" t="n"/>
      <c r="J210" s="28">
        <f>IF($D210="","",N(G210)+N(H210)-N(I210))</f>
        <v/>
      </c>
      <c r="K210" s="27" t="n"/>
      <c r="L210" s="28">
        <f>IF($D210="","",N(J210)-N(K210))</f>
        <v/>
      </c>
    </row>
    <row r="211">
      <c r="A211" s="38" t="n"/>
      <c r="B211" s="12" t="n"/>
      <c r="C211" s="12" t="n"/>
      <c r="D211" s="12" t="n"/>
      <c r="E211" s="43" t="n"/>
      <c r="F211" s="28">
        <f>IF($D211="","",IFERROR(VLOOKUP($D211,'Products &amp; Pricing'!$A$14:$D$28,4,FALSE),""))</f>
        <v/>
      </c>
      <c r="G211" s="28">
        <f>IF($D211="","",N(E211)*N(F211))</f>
        <v/>
      </c>
      <c r="H211" s="27" t="n"/>
      <c r="I211" s="27" t="n"/>
      <c r="J211" s="28">
        <f>IF($D211="","",N(G211)+N(H211)-N(I211))</f>
        <v/>
      </c>
      <c r="K211" s="27" t="n"/>
      <c r="L211" s="28">
        <f>IF($D211="","",N(J211)-N(K211))</f>
        <v/>
      </c>
    </row>
    <row r="212">
      <c r="A212" s="38" t="n"/>
      <c r="B212" s="12" t="n"/>
      <c r="C212" s="12" t="n"/>
      <c r="D212" s="12" t="n"/>
      <c r="E212" s="43" t="n"/>
      <c r="F212" s="28">
        <f>IF($D212="","",IFERROR(VLOOKUP($D212,'Products &amp; Pricing'!$A$14:$D$28,4,FALSE),""))</f>
        <v/>
      </c>
      <c r="G212" s="28">
        <f>IF($D212="","",N(E212)*N(F212))</f>
        <v/>
      </c>
      <c r="H212" s="27" t="n"/>
      <c r="I212" s="27" t="n"/>
      <c r="J212" s="28">
        <f>IF($D212="","",N(G212)+N(H212)-N(I212))</f>
        <v/>
      </c>
      <c r="K212" s="27" t="n"/>
      <c r="L212" s="28">
        <f>IF($D212="","",N(J212)-N(K212))</f>
        <v/>
      </c>
    </row>
    <row r="213">
      <c r="A213" s="38" t="n"/>
      <c r="B213" s="12" t="n"/>
      <c r="C213" s="12" t="n"/>
      <c r="D213" s="12" t="n"/>
      <c r="E213" s="43" t="n"/>
      <c r="F213" s="28">
        <f>IF($D213="","",IFERROR(VLOOKUP($D213,'Products &amp; Pricing'!$A$14:$D$28,4,FALSE),""))</f>
        <v/>
      </c>
      <c r="G213" s="28">
        <f>IF($D213="","",N(E213)*N(F213))</f>
        <v/>
      </c>
      <c r="H213" s="27" t="n"/>
      <c r="I213" s="27" t="n"/>
      <c r="J213" s="28">
        <f>IF($D213="","",N(G213)+N(H213)-N(I213))</f>
        <v/>
      </c>
      <c r="K213" s="27" t="n"/>
      <c r="L213" s="28">
        <f>IF($D213="","",N(J213)-N(K213))</f>
        <v/>
      </c>
    </row>
    <row r="214">
      <c r="A214" s="38" t="n"/>
      <c r="B214" s="12" t="n"/>
      <c r="C214" s="12" t="n"/>
      <c r="D214" s="12" t="n"/>
      <c r="E214" s="43" t="n"/>
      <c r="F214" s="28">
        <f>IF($D214="","",IFERROR(VLOOKUP($D214,'Products &amp; Pricing'!$A$14:$D$28,4,FALSE),""))</f>
        <v/>
      </c>
      <c r="G214" s="28">
        <f>IF($D214="","",N(E214)*N(F214))</f>
        <v/>
      </c>
      <c r="H214" s="27" t="n"/>
      <c r="I214" s="27" t="n"/>
      <c r="J214" s="28">
        <f>IF($D214="","",N(G214)+N(H214)-N(I214))</f>
        <v/>
      </c>
      <c r="K214" s="27" t="n"/>
      <c r="L214" s="28">
        <f>IF($D214="","",N(J214)-N(K214))</f>
        <v/>
      </c>
    </row>
    <row r="215">
      <c r="A215" s="38" t="n"/>
      <c r="B215" s="12" t="n"/>
      <c r="C215" s="12" t="n"/>
      <c r="D215" s="12" t="n"/>
      <c r="E215" s="43" t="n"/>
      <c r="F215" s="28">
        <f>IF($D215="","",IFERROR(VLOOKUP($D215,'Products &amp; Pricing'!$A$14:$D$28,4,FALSE),""))</f>
        <v/>
      </c>
      <c r="G215" s="28">
        <f>IF($D215="","",N(E215)*N(F215))</f>
        <v/>
      </c>
      <c r="H215" s="27" t="n"/>
      <c r="I215" s="27" t="n"/>
      <c r="J215" s="28">
        <f>IF($D215="","",N(G215)+N(H215)-N(I215))</f>
        <v/>
      </c>
      <c r="K215" s="27" t="n"/>
      <c r="L215" s="28">
        <f>IF($D215="","",N(J215)-N(K215))</f>
        <v/>
      </c>
    </row>
    <row r="216">
      <c r="A216" s="38" t="n"/>
      <c r="B216" s="12" t="n"/>
      <c r="C216" s="12" t="n"/>
      <c r="D216" s="12" t="n"/>
      <c r="E216" s="43" t="n"/>
      <c r="F216" s="28">
        <f>IF($D216="","",IFERROR(VLOOKUP($D216,'Products &amp; Pricing'!$A$14:$D$28,4,FALSE),""))</f>
        <v/>
      </c>
      <c r="G216" s="28">
        <f>IF($D216="","",N(E216)*N(F216))</f>
        <v/>
      </c>
      <c r="H216" s="27" t="n"/>
      <c r="I216" s="27" t="n"/>
      <c r="J216" s="28">
        <f>IF($D216="","",N(G216)+N(H216)-N(I216))</f>
        <v/>
      </c>
      <c r="K216" s="27" t="n"/>
      <c r="L216" s="28">
        <f>IF($D216="","",N(J216)-N(K216))</f>
        <v/>
      </c>
    </row>
    <row r="217">
      <c r="A217" s="38" t="n"/>
      <c r="B217" s="12" t="n"/>
      <c r="C217" s="12" t="n"/>
      <c r="D217" s="12" t="n"/>
      <c r="E217" s="43" t="n"/>
      <c r="F217" s="28">
        <f>IF($D217="","",IFERROR(VLOOKUP($D217,'Products &amp; Pricing'!$A$14:$D$28,4,FALSE),""))</f>
        <v/>
      </c>
      <c r="G217" s="28">
        <f>IF($D217="","",N(E217)*N(F217))</f>
        <v/>
      </c>
      <c r="H217" s="27" t="n"/>
      <c r="I217" s="27" t="n"/>
      <c r="J217" s="28">
        <f>IF($D217="","",N(G217)+N(H217)-N(I217))</f>
        <v/>
      </c>
      <c r="K217" s="27" t="n"/>
      <c r="L217" s="28">
        <f>IF($D217="","",N(J217)-N(K217))</f>
        <v/>
      </c>
    </row>
    <row r="218">
      <c r="A218" s="38" t="n"/>
      <c r="B218" s="12" t="n"/>
      <c r="C218" s="12" t="n"/>
      <c r="D218" s="12" t="n"/>
      <c r="E218" s="43" t="n"/>
      <c r="F218" s="28">
        <f>IF($D218="","",IFERROR(VLOOKUP($D218,'Products &amp; Pricing'!$A$14:$D$28,4,FALSE),""))</f>
        <v/>
      </c>
      <c r="G218" s="28">
        <f>IF($D218="","",N(E218)*N(F218))</f>
        <v/>
      </c>
      <c r="H218" s="27" t="n"/>
      <c r="I218" s="27" t="n"/>
      <c r="J218" s="28">
        <f>IF($D218="","",N(G218)+N(H218)-N(I218))</f>
        <v/>
      </c>
      <c r="K218" s="27" t="n"/>
      <c r="L218" s="28">
        <f>IF($D218="","",N(J218)-N(K218))</f>
        <v/>
      </c>
    </row>
    <row r="219">
      <c r="A219" s="38" t="n"/>
      <c r="B219" s="12" t="n"/>
      <c r="C219" s="12" t="n"/>
      <c r="D219" s="12" t="n"/>
      <c r="E219" s="43" t="n"/>
      <c r="F219" s="28">
        <f>IF($D219="","",IFERROR(VLOOKUP($D219,'Products &amp; Pricing'!$A$14:$D$28,4,FALSE),""))</f>
        <v/>
      </c>
      <c r="G219" s="28">
        <f>IF($D219="","",N(E219)*N(F219))</f>
        <v/>
      </c>
      <c r="H219" s="27" t="n"/>
      <c r="I219" s="27" t="n"/>
      <c r="J219" s="28">
        <f>IF($D219="","",N(G219)+N(H219)-N(I219))</f>
        <v/>
      </c>
      <c r="K219" s="27" t="n"/>
      <c r="L219" s="28">
        <f>IF($D219="","",N(J219)-N(K219))</f>
        <v/>
      </c>
    </row>
    <row r="220">
      <c r="A220" s="38" t="n"/>
      <c r="B220" s="12" t="n"/>
      <c r="C220" s="12" t="n"/>
      <c r="D220" s="12" t="n"/>
      <c r="E220" s="43" t="n"/>
      <c r="F220" s="28">
        <f>IF($D220="","",IFERROR(VLOOKUP($D220,'Products &amp; Pricing'!$A$14:$D$28,4,FALSE),""))</f>
        <v/>
      </c>
      <c r="G220" s="28">
        <f>IF($D220="","",N(E220)*N(F220))</f>
        <v/>
      </c>
      <c r="H220" s="27" t="n"/>
      <c r="I220" s="27" t="n"/>
      <c r="J220" s="28">
        <f>IF($D220="","",N(G220)+N(H220)-N(I220))</f>
        <v/>
      </c>
      <c r="K220" s="27" t="n"/>
      <c r="L220" s="28">
        <f>IF($D220="","",N(J220)-N(K220))</f>
        <v/>
      </c>
    </row>
    <row r="221">
      <c r="A221" s="38" t="n"/>
      <c r="B221" s="12" t="n"/>
      <c r="C221" s="12" t="n"/>
      <c r="D221" s="12" t="n"/>
      <c r="E221" s="43" t="n"/>
      <c r="F221" s="28">
        <f>IF($D221="","",IFERROR(VLOOKUP($D221,'Products &amp; Pricing'!$A$14:$D$28,4,FALSE),""))</f>
        <v/>
      </c>
      <c r="G221" s="28">
        <f>IF($D221="","",N(E221)*N(F221))</f>
        <v/>
      </c>
      <c r="H221" s="27" t="n"/>
      <c r="I221" s="27" t="n"/>
      <c r="J221" s="28">
        <f>IF($D221="","",N(G221)+N(H221)-N(I221))</f>
        <v/>
      </c>
      <c r="K221" s="27" t="n"/>
      <c r="L221" s="28">
        <f>IF($D221="","",N(J221)-N(K221))</f>
        <v/>
      </c>
    </row>
    <row r="222">
      <c r="A222" s="38" t="n"/>
      <c r="B222" s="12" t="n"/>
      <c r="C222" s="12" t="n"/>
      <c r="D222" s="12" t="n"/>
      <c r="E222" s="43" t="n"/>
      <c r="F222" s="28">
        <f>IF($D222="","",IFERROR(VLOOKUP($D222,'Products &amp; Pricing'!$A$14:$D$28,4,FALSE),""))</f>
        <v/>
      </c>
      <c r="G222" s="28">
        <f>IF($D222="","",N(E222)*N(F222))</f>
        <v/>
      </c>
      <c r="H222" s="27" t="n"/>
      <c r="I222" s="27" t="n"/>
      <c r="J222" s="28">
        <f>IF($D222="","",N(G222)+N(H222)-N(I222))</f>
        <v/>
      </c>
      <c r="K222" s="27" t="n"/>
      <c r="L222" s="28">
        <f>IF($D222="","",N(J222)-N(K222))</f>
        <v/>
      </c>
    </row>
    <row r="223">
      <c r="A223" s="38" t="n"/>
      <c r="B223" s="12" t="n"/>
      <c r="C223" s="12" t="n"/>
      <c r="D223" s="12" t="n"/>
      <c r="E223" s="43" t="n"/>
      <c r="F223" s="28">
        <f>IF($D223="","",IFERROR(VLOOKUP($D223,'Products &amp; Pricing'!$A$14:$D$28,4,FALSE),""))</f>
        <v/>
      </c>
      <c r="G223" s="28">
        <f>IF($D223="","",N(E223)*N(F223))</f>
        <v/>
      </c>
      <c r="H223" s="27" t="n"/>
      <c r="I223" s="27" t="n"/>
      <c r="J223" s="28">
        <f>IF($D223="","",N(G223)+N(H223)-N(I223))</f>
        <v/>
      </c>
      <c r="K223" s="27" t="n"/>
      <c r="L223" s="28">
        <f>IF($D223="","",N(J223)-N(K223))</f>
        <v/>
      </c>
    </row>
    <row r="224">
      <c r="A224" s="38" t="n"/>
      <c r="B224" s="12" t="n"/>
      <c r="C224" s="12" t="n"/>
      <c r="D224" s="12" t="n"/>
      <c r="E224" s="43" t="n"/>
      <c r="F224" s="28">
        <f>IF($D224="","",IFERROR(VLOOKUP($D224,'Products &amp; Pricing'!$A$14:$D$28,4,FALSE),""))</f>
        <v/>
      </c>
      <c r="G224" s="28">
        <f>IF($D224="","",N(E224)*N(F224))</f>
        <v/>
      </c>
      <c r="H224" s="27" t="n"/>
      <c r="I224" s="27" t="n"/>
      <c r="J224" s="28">
        <f>IF($D224="","",N(G224)+N(H224)-N(I224))</f>
        <v/>
      </c>
      <c r="K224" s="27" t="n"/>
      <c r="L224" s="28">
        <f>IF($D224="","",N(J224)-N(K224))</f>
        <v/>
      </c>
    </row>
    <row r="225">
      <c r="A225" s="38" t="n"/>
      <c r="B225" s="12" t="n"/>
      <c r="C225" s="12" t="n"/>
      <c r="D225" s="12" t="n"/>
      <c r="E225" s="43" t="n"/>
      <c r="F225" s="28">
        <f>IF($D225="","",IFERROR(VLOOKUP($D225,'Products &amp; Pricing'!$A$14:$D$28,4,FALSE),""))</f>
        <v/>
      </c>
      <c r="G225" s="28">
        <f>IF($D225="","",N(E225)*N(F225))</f>
        <v/>
      </c>
      <c r="H225" s="27" t="n"/>
      <c r="I225" s="27" t="n"/>
      <c r="J225" s="28">
        <f>IF($D225="","",N(G225)+N(H225)-N(I225))</f>
        <v/>
      </c>
      <c r="K225" s="27" t="n"/>
      <c r="L225" s="28">
        <f>IF($D225="","",N(J225)-N(K225))</f>
        <v/>
      </c>
    </row>
    <row r="226">
      <c r="A226" s="38" t="n"/>
      <c r="B226" s="12" t="n"/>
      <c r="C226" s="12" t="n"/>
      <c r="D226" s="12" t="n"/>
      <c r="E226" s="43" t="n"/>
      <c r="F226" s="28">
        <f>IF($D226="","",IFERROR(VLOOKUP($D226,'Products &amp; Pricing'!$A$14:$D$28,4,FALSE),""))</f>
        <v/>
      </c>
      <c r="G226" s="28">
        <f>IF($D226="","",N(E226)*N(F226))</f>
        <v/>
      </c>
      <c r="H226" s="27" t="n"/>
      <c r="I226" s="27" t="n"/>
      <c r="J226" s="28">
        <f>IF($D226="","",N(G226)+N(H226)-N(I226))</f>
        <v/>
      </c>
      <c r="K226" s="27" t="n"/>
      <c r="L226" s="28">
        <f>IF($D226="","",N(J226)-N(K226))</f>
        <v/>
      </c>
    </row>
    <row r="227">
      <c r="A227" s="38" t="n"/>
      <c r="B227" s="12" t="n"/>
      <c r="C227" s="12" t="n"/>
      <c r="D227" s="12" t="n"/>
      <c r="E227" s="43" t="n"/>
      <c r="F227" s="28">
        <f>IF($D227="","",IFERROR(VLOOKUP($D227,'Products &amp; Pricing'!$A$14:$D$28,4,FALSE),""))</f>
        <v/>
      </c>
      <c r="G227" s="28">
        <f>IF($D227="","",N(E227)*N(F227))</f>
        <v/>
      </c>
      <c r="H227" s="27" t="n"/>
      <c r="I227" s="27" t="n"/>
      <c r="J227" s="28">
        <f>IF($D227="","",N(G227)+N(H227)-N(I227))</f>
        <v/>
      </c>
      <c r="K227" s="27" t="n"/>
      <c r="L227" s="28">
        <f>IF($D227="","",N(J227)-N(K227))</f>
        <v/>
      </c>
    </row>
    <row r="228">
      <c r="A228" s="38" t="n"/>
      <c r="B228" s="12" t="n"/>
      <c r="C228" s="12" t="n"/>
      <c r="D228" s="12" t="n"/>
      <c r="E228" s="43" t="n"/>
      <c r="F228" s="28">
        <f>IF($D228="","",IFERROR(VLOOKUP($D228,'Products &amp; Pricing'!$A$14:$D$28,4,FALSE),""))</f>
        <v/>
      </c>
      <c r="G228" s="28">
        <f>IF($D228="","",N(E228)*N(F228))</f>
        <v/>
      </c>
      <c r="H228" s="27" t="n"/>
      <c r="I228" s="27" t="n"/>
      <c r="J228" s="28">
        <f>IF($D228="","",N(G228)+N(H228)-N(I228))</f>
        <v/>
      </c>
      <c r="K228" s="27" t="n"/>
      <c r="L228" s="28">
        <f>IF($D228="","",N(J228)-N(K228))</f>
        <v/>
      </c>
    </row>
    <row r="229">
      <c r="A229" s="38" t="n"/>
      <c r="B229" s="12" t="n"/>
      <c r="C229" s="12" t="n"/>
      <c r="D229" s="12" t="n"/>
      <c r="E229" s="43" t="n"/>
      <c r="F229" s="28">
        <f>IF($D229="","",IFERROR(VLOOKUP($D229,'Products &amp; Pricing'!$A$14:$D$28,4,FALSE),""))</f>
        <v/>
      </c>
      <c r="G229" s="28">
        <f>IF($D229="","",N(E229)*N(F229))</f>
        <v/>
      </c>
      <c r="H229" s="27" t="n"/>
      <c r="I229" s="27" t="n"/>
      <c r="J229" s="28">
        <f>IF($D229="","",N(G229)+N(H229)-N(I229))</f>
        <v/>
      </c>
      <c r="K229" s="27" t="n"/>
      <c r="L229" s="28">
        <f>IF($D229="","",N(J229)-N(K229))</f>
        <v/>
      </c>
    </row>
    <row r="230">
      <c r="A230" s="38" t="n"/>
      <c r="B230" s="12" t="n"/>
      <c r="C230" s="12" t="n"/>
      <c r="D230" s="12" t="n"/>
      <c r="E230" s="43" t="n"/>
      <c r="F230" s="28">
        <f>IF($D230="","",IFERROR(VLOOKUP($D230,'Products &amp; Pricing'!$A$14:$D$28,4,FALSE),""))</f>
        <v/>
      </c>
      <c r="G230" s="28">
        <f>IF($D230="","",N(E230)*N(F230))</f>
        <v/>
      </c>
      <c r="H230" s="27" t="n"/>
      <c r="I230" s="27" t="n"/>
      <c r="J230" s="28">
        <f>IF($D230="","",N(G230)+N(H230)-N(I230))</f>
        <v/>
      </c>
      <c r="K230" s="27" t="n"/>
      <c r="L230" s="28">
        <f>IF($D230="","",N(J230)-N(K230))</f>
        <v/>
      </c>
    </row>
    <row r="231">
      <c r="A231" s="38" t="n"/>
      <c r="B231" s="12" t="n"/>
      <c r="C231" s="12" t="n"/>
      <c r="D231" s="12" t="n"/>
      <c r="E231" s="43" t="n"/>
      <c r="F231" s="28">
        <f>IF($D231="","",IFERROR(VLOOKUP($D231,'Products &amp; Pricing'!$A$14:$D$28,4,FALSE),""))</f>
        <v/>
      </c>
      <c r="G231" s="28">
        <f>IF($D231="","",N(E231)*N(F231))</f>
        <v/>
      </c>
      <c r="H231" s="27" t="n"/>
      <c r="I231" s="27" t="n"/>
      <c r="J231" s="28">
        <f>IF($D231="","",N(G231)+N(H231)-N(I231))</f>
        <v/>
      </c>
      <c r="K231" s="27" t="n"/>
      <c r="L231" s="28">
        <f>IF($D231="","",N(J231)-N(K231))</f>
        <v/>
      </c>
    </row>
    <row r="232">
      <c r="A232" s="38" t="n"/>
      <c r="B232" s="12" t="n"/>
      <c r="C232" s="12" t="n"/>
      <c r="D232" s="12" t="n"/>
      <c r="E232" s="43" t="n"/>
      <c r="F232" s="28">
        <f>IF($D232="","",IFERROR(VLOOKUP($D232,'Products &amp; Pricing'!$A$14:$D$28,4,FALSE),""))</f>
        <v/>
      </c>
      <c r="G232" s="28">
        <f>IF($D232="","",N(E232)*N(F232))</f>
        <v/>
      </c>
      <c r="H232" s="27" t="n"/>
      <c r="I232" s="27" t="n"/>
      <c r="J232" s="28">
        <f>IF($D232="","",N(G232)+N(H232)-N(I232))</f>
        <v/>
      </c>
      <c r="K232" s="27" t="n"/>
      <c r="L232" s="28">
        <f>IF($D232="","",N(J232)-N(K232))</f>
        <v/>
      </c>
    </row>
    <row r="233">
      <c r="A233" s="38" t="n"/>
      <c r="B233" s="12" t="n"/>
      <c r="C233" s="12" t="n"/>
      <c r="D233" s="12" t="n"/>
      <c r="E233" s="43" t="n"/>
      <c r="F233" s="28">
        <f>IF($D233="","",IFERROR(VLOOKUP($D233,'Products &amp; Pricing'!$A$14:$D$28,4,FALSE),""))</f>
        <v/>
      </c>
      <c r="G233" s="28">
        <f>IF($D233="","",N(E233)*N(F233))</f>
        <v/>
      </c>
      <c r="H233" s="27" t="n"/>
      <c r="I233" s="27" t="n"/>
      <c r="J233" s="28">
        <f>IF($D233="","",N(G233)+N(H233)-N(I233))</f>
        <v/>
      </c>
      <c r="K233" s="27" t="n"/>
      <c r="L233" s="28">
        <f>IF($D233="","",N(J233)-N(K233))</f>
        <v/>
      </c>
    </row>
    <row r="234">
      <c r="A234" s="38" t="n"/>
      <c r="B234" s="12" t="n"/>
      <c r="C234" s="12" t="n"/>
      <c r="D234" s="12" t="n"/>
      <c r="E234" s="43" t="n"/>
      <c r="F234" s="28">
        <f>IF($D234="","",IFERROR(VLOOKUP($D234,'Products &amp; Pricing'!$A$14:$D$28,4,FALSE),""))</f>
        <v/>
      </c>
      <c r="G234" s="28">
        <f>IF($D234="","",N(E234)*N(F234))</f>
        <v/>
      </c>
      <c r="H234" s="27" t="n"/>
      <c r="I234" s="27" t="n"/>
      <c r="J234" s="28">
        <f>IF($D234="","",N(G234)+N(H234)-N(I234))</f>
        <v/>
      </c>
      <c r="K234" s="27" t="n"/>
      <c r="L234" s="28">
        <f>IF($D234="","",N(J234)-N(K234))</f>
        <v/>
      </c>
    </row>
    <row r="235">
      <c r="A235" s="38" t="n"/>
      <c r="B235" s="12" t="n"/>
      <c r="C235" s="12" t="n"/>
      <c r="D235" s="12" t="n"/>
      <c r="E235" s="43" t="n"/>
      <c r="F235" s="28">
        <f>IF($D235="","",IFERROR(VLOOKUP($D235,'Products &amp; Pricing'!$A$14:$D$28,4,FALSE),""))</f>
        <v/>
      </c>
      <c r="G235" s="28">
        <f>IF($D235="","",N(E235)*N(F235))</f>
        <v/>
      </c>
      <c r="H235" s="27" t="n"/>
      <c r="I235" s="27" t="n"/>
      <c r="J235" s="28">
        <f>IF($D235="","",N(G235)+N(H235)-N(I235))</f>
        <v/>
      </c>
      <c r="K235" s="27" t="n"/>
      <c r="L235" s="28">
        <f>IF($D235="","",N(J235)-N(K235))</f>
        <v/>
      </c>
    </row>
    <row r="236">
      <c r="A236" s="38" t="n"/>
      <c r="B236" s="12" t="n"/>
      <c r="C236" s="12" t="n"/>
      <c r="D236" s="12" t="n"/>
      <c r="E236" s="43" t="n"/>
      <c r="F236" s="28">
        <f>IF($D236="","",IFERROR(VLOOKUP($D236,'Products &amp; Pricing'!$A$14:$D$28,4,FALSE),""))</f>
        <v/>
      </c>
      <c r="G236" s="28">
        <f>IF($D236="","",N(E236)*N(F236))</f>
        <v/>
      </c>
      <c r="H236" s="27" t="n"/>
      <c r="I236" s="27" t="n"/>
      <c r="J236" s="28">
        <f>IF($D236="","",N(G236)+N(H236)-N(I236))</f>
        <v/>
      </c>
      <c r="K236" s="27" t="n"/>
      <c r="L236" s="28">
        <f>IF($D236="","",N(J236)-N(K236))</f>
        <v/>
      </c>
    </row>
    <row r="237">
      <c r="A237" s="38" t="n"/>
      <c r="B237" s="12" t="n"/>
      <c r="C237" s="12" t="n"/>
      <c r="D237" s="12" t="n"/>
      <c r="E237" s="43" t="n"/>
      <c r="F237" s="28">
        <f>IF($D237="","",IFERROR(VLOOKUP($D237,'Products &amp; Pricing'!$A$14:$D$28,4,FALSE),""))</f>
        <v/>
      </c>
      <c r="G237" s="28">
        <f>IF($D237="","",N(E237)*N(F237))</f>
        <v/>
      </c>
      <c r="H237" s="27" t="n"/>
      <c r="I237" s="27" t="n"/>
      <c r="J237" s="28">
        <f>IF($D237="","",N(G237)+N(H237)-N(I237))</f>
        <v/>
      </c>
      <c r="K237" s="27" t="n"/>
      <c r="L237" s="28">
        <f>IF($D237="","",N(J237)-N(K237))</f>
        <v/>
      </c>
    </row>
    <row r="238">
      <c r="A238" s="38" t="n"/>
      <c r="B238" s="12" t="n"/>
      <c r="C238" s="12" t="n"/>
      <c r="D238" s="12" t="n"/>
      <c r="E238" s="43" t="n"/>
      <c r="F238" s="28">
        <f>IF($D238="","",IFERROR(VLOOKUP($D238,'Products &amp; Pricing'!$A$14:$D$28,4,FALSE),""))</f>
        <v/>
      </c>
      <c r="G238" s="28">
        <f>IF($D238="","",N(E238)*N(F238))</f>
        <v/>
      </c>
      <c r="H238" s="27" t="n"/>
      <c r="I238" s="27" t="n"/>
      <c r="J238" s="28">
        <f>IF($D238="","",N(G238)+N(H238)-N(I238))</f>
        <v/>
      </c>
      <c r="K238" s="27" t="n"/>
      <c r="L238" s="28">
        <f>IF($D238="","",N(J238)-N(K238))</f>
        <v/>
      </c>
    </row>
    <row r="239">
      <c r="A239" s="38" t="n"/>
      <c r="B239" s="12" t="n"/>
      <c r="C239" s="12" t="n"/>
      <c r="D239" s="12" t="n"/>
      <c r="E239" s="43" t="n"/>
      <c r="F239" s="28">
        <f>IF($D239="","",IFERROR(VLOOKUP($D239,'Products &amp; Pricing'!$A$14:$D$28,4,FALSE),""))</f>
        <v/>
      </c>
      <c r="G239" s="28">
        <f>IF($D239="","",N(E239)*N(F239))</f>
        <v/>
      </c>
      <c r="H239" s="27" t="n"/>
      <c r="I239" s="27" t="n"/>
      <c r="J239" s="28">
        <f>IF($D239="","",N(G239)+N(H239)-N(I239))</f>
        <v/>
      </c>
      <c r="K239" s="27" t="n"/>
      <c r="L239" s="28">
        <f>IF($D239="","",N(J239)-N(K239))</f>
        <v/>
      </c>
    </row>
    <row r="240">
      <c r="A240" s="38" t="n"/>
      <c r="B240" s="12" t="n"/>
      <c r="C240" s="12" t="n"/>
      <c r="D240" s="12" t="n"/>
      <c r="E240" s="43" t="n"/>
      <c r="F240" s="28">
        <f>IF($D240="","",IFERROR(VLOOKUP($D240,'Products &amp; Pricing'!$A$14:$D$28,4,FALSE),""))</f>
        <v/>
      </c>
      <c r="G240" s="28">
        <f>IF($D240="","",N(E240)*N(F240))</f>
        <v/>
      </c>
      <c r="H240" s="27" t="n"/>
      <c r="I240" s="27" t="n"/>
      <c r="J240" s="28">
        <f>IF($D240="","",N(G240)+N(H240)-N(I240))</f>
        <v/>
      </c>
      <c r="K240" s="27" t="n"/>
      <c r="L240" s="28">
        <f>IF($D240="","",N(J240)-N(K240))</f>
        <v/>
      </c>
    </row>
    <row r="241">
      <c r="A241" s="38" t="n"/>
      <c r="B241" s="12" t="n"/>
      <c r="C241" s="12" t="n"/>
      <c r="D241" s="12" t="n"/>
      <c r="E241" s="43" t="n"/>
      <c r="F241" s="28">
        <f>IF($D241="","",IFERROR(VLOOKUP($D241,'Products &amp; Pricing'!$A$14:$D$28,4,FALSE),""))</f>
        <v/>
      </c>
      <c r="G241" s="28">
        <f>IF($D241="","",N(E241)*N(F241))</f>
        <v/>
      </c>
      <c r="H241" s="27" t="n"/>
      <c r="I241" s="27" t="n"/>
      <c r="J241" s="28">
        <f>IF($D241="","",N(G241)+N(H241)-N(I241))</f>
        <v/>
      </c>
      <c r="K241" s="27" t="n"/>
      <c r="L241" s="28">
        <f>IF($D241="","",N(J241)-N(K241))</f>
        <v/>
      </c>
    </row>
    <row r="242">
      <c r="A242" s="38" t="n"/>
      <c r="B242" s="12" t="n"/>
      <c r="C242" s="12" t="n"/>
      <c r="D242" s="12" t="n"/>
      <c r="E242" s="43" t="n"/>
      <c r="F242" s="28">
        <f>IF($D242="","",IFERROR(VLOOKUP($D242,'Products &amp; Pricing'!$A$14:$D$28,4,FALSE),""))</f>
        <v/>
      </c>
      <c r="G242" s="28">
        <f>IF($D242="","",N(E242)*N(F242))</f>
        <v/>
      </c>
      <c r="H242" s="27" t="n"/>
      <c r="I242" s="27" t="n"/>
      <c r="J242" s="28">
        <f>IF($D242="","",N(G242)+N(H242)-N(I242))</f>
        <v/>
      </c>
      <c r="K242" s="27" t="n"/>
      <c r="L242" s="28">
        <f>IF($D242="","",N(J242)-N(K242))</f>
        <v/>
      </c>
    </row>
    <row r="243">
      <c r="A243" s="38" t="n"/>
      <c r="B243" s="12" t="n"/>
      <c r="C243" s="12" t="n"/>
      <c r="D243" s="12" t="n"/>
      <c r="E243" s="43" t="n"/>
      <c r="F243" s="28">
        <f>IF($D243="","",IFERROR(VLOOKUP($D243,'Products &amp; Pricing'!$A$14:$D$28,4,FALSE),""))</f>
        <v/>
      </c>
      <c r="G243" s="28">
        <f>IF($D243="","",N(E243)*N(F243))</f>
        <v/>
      </c>
      <c r="H243" s="27" t="n"/>
      <c r="I243" s="27" t="n"/>
      <c r="J243" s="28">
        <f>IF($D243="","",N(G243)+N(H243)-N(I243))</f>
        <v/>
      </c>
      <c r="K243" s="27" t="n"/>
      <c r="L243" s="28">
        <f>IF($D243="","",N(J243)-N(K243))</f>
        <v/>
      </c>
    </row>
    <row r="244">
      <c r="A244" s="38" t="n"/>
      <c r="B244" s="12" t="n"/>
      <c r="C244" s="12" t="n"/>
      <c r="D244" s="12" t="n"/>
      <c r="E244" s="43" t="n"/>
      <c r="F244" s="28">
        <f>IF($D244="","",IFERROR(VLOOKUP($D244,'Products &amp; Pricing'!$A$14:$D$28,4,FALSE),""))</f>
        <v/>
      </c>
      <c r="G244" s="28">
        <f>IF($D244="","",N(E244)*N(F244))</f>
        <v/>
      </c>
      <c r="H244" s="27" t="n"/>
      <c r="I244" s="27" t="n"/>
      <c r="J244" s="28">
        <f>IF($D244="","",N(G244)+N(H244)-N(I244))</f>
        <v/>
      </c>
      <c r="K244" s="27" t="n"/>
      <c r="L244" s="28">
        <f>IF($D244="","",N(J244)-N(K244))</f>
        <v/>
      </c>
    </row>
    <row r="245">
      <c r="A245" s="38" t="n"/>
      <c r="B245" s="12" t="n"/>
      <c r="C245" s="12" t="n"/>
      <c r="D245" s="12" t="n"/>
      <c r="E245" s="43" t="n"/>
      <c r="F245" s="28">
        <f>IF($D245="","",IFERROR(VLOOKUP($D245,'Products &amp; Pricing'!$A$14:$D$28,4,FALSE),""))</f>
        <v/>
      </c>
      <c r="G245" s="28">
        <f>IF($D245="","",N(E245)*N(F245))</f>
        <v/>
      </c>
      <c r="H245" s="27" t="n"/>
      <c r="I245" s="27" t="n"/>
      <c r="J245" s="28">
        <f>IF($D245="","",N(G245)+N(H245)-N(I245))</f>
        <v/>
      </c>
      <c r="K245" s="27" t="n"/>
      <c r="L245" s="28">
        <f>IF($D245="","",N(J245)-N(K245))</f>
        <v/>
      </c>
    </row>
    <row r="246">
      <c r="A246" s="38" t="n"/>
      <c r="B246" s="12" t="n"/>
      <c r="C246" s="12" t="n"/>
      <c r="D246" s="12" t="n"/>
      <c r="E246" s="43" t="n"/>
      <c r="F246" s="28">
        <f>IF($D246="","",IFERROR(VLOOKUP($D246,'Products &amp; Pricing'!$A$14:$D$28,4,FALSE),""))</f>
        <v/>
      </c>
      <c r="G246" s="28">
        <f>IF($D246="","",N(E246)*N(F246))</f>
        <v/>
      </c>
      <c r="H246" s="27" t="n"/>
      <c r="I246" s="27" t="n"/>
      <c r="J246" s="28">
        <f>IF($D246="","",N(G246)+N(H246)-N(I246))</f>
        <v/>
      </c>
      <c r="K246" s="27" t="n"/>
      <c r="L246" s="28">
        <f>IF($D246="","",N(J246)-N(K246))</f>
        <v/>
      </c>
    </row>
    <row r="247">
      <c r="A247" s="38" t="n"/>
      <c r="B247" s="12" t="n"/>
      <c r="C247" s="12" t="n"/>
      <c r="D247" s="12" t="n"/>
      <c r="E247" s="43" t="n"/>
      <c r="F247" s="28">
        <f>IF($D247="","",IFERROR(VLOOKUP($D247,'Products &amp; Pricing'!$A$14:$D$28,4,FALSE),""))</f>
        <v/>
      </c>
      <c r="G247" s="28">
        <f>IF($D247="","",N(E247)*N(F247))</f>
        <v/>
      </c>
      <c r="H247" s="27" t="n"/>
      <c r="I247" s="27" t="n"/>
      <c r="J247" s="28">
        <f>IF($D247="","",N(G247)+N(H247)-N(I247))</f>
        <v/>
      </c>
      <c r="K247" s="27" t="n"/>
      <c r="L247" s="28">
        <f>IF($D247="","",N(J247)-N(K247))</f>
        <v/>
      </c>
    </row>
    <row r="248">
      <c r="A248" s="38" t="n"/>
      <c r="B248" s="12" t="n"/>
      <c r="C248" s="12" t="n"/>
      <c r="D248" s="12" t="n"/>
      <c r="E248" s="43" t="n"/>
      <c r="F248" s="28">
        <f>IF($D248="","",IFERROR(VLOOKUP($D248,'Products &amp; Pricing'!$A$14:$D$28,4,FALSE),""))</f>
        <v/>
      </c>
      <c r="G248" s="28">
        <f>IF($D248="","",N(E248)*N(F248))</f>
        <v/>
      </c>
      <c r="H248" s="27" t="n"/>
      <c r="I248" s="27" t="n"/>
      <c r="J248" s="28">
        <f>IF($D248="","",N(G248)+N(H248)-N(I248))</f>
        <v/>
      </c>
      <c r="K248" s="27" t="n"/>
      <c r="L248" s="28">
        <f>IF($D248="","",N(J248)-N(K248))</f>
        <v/>
      </c>
    </row>
    <row r="249">
      <c r="A249" s="38" t="n"/>
      <c r="B249" s="12" t="n"/>
      <c r="C249" s="12" t="n"/>
      <c r="D249" s="12" t="n"/>
      <c r="E249" s="43" t="n"/>
      <c r="F249" s="28">
        <f>IF($D249="","",IFERROR(VLOOKUP($D249,'Products &amp; Pricing'!$A$14:$D$28,4,FALSE),""))</f>
        <v/>
      </c>
      <c r="G249" s="28">
        <f>IF($D249="","",N(E249)*N(F249))</f>
        <v/>
      </c>
      <c r="H249" s="27" t="n"/>
      <c r="I249" s="27" t="n"/>
      <c r="J249" s="28">
        <f>IF($D249="","",N(G249)+N(H249)-N(I249))</f>
        <v/>
      </c>
      <c r="K249" s="27" t="n"/>
      <c r="L249" s="28">
        <f>IF($D249="","",N(J249)-N(K249))</f>
        <v/>
      </c>
    </row>
    <row r="250">
      <c r="A250" s="38" t="n"/>
      <c r="B250" s="12" t="n"/>
      <c r="C250" s="12" t="n"/>
      <c r="D250" s="12" t="n"/>
      <c r="E250" s="43" t="n"/>
      <c r="F250" s="28">
        <f>IF($D250="","",IFERROR(VLOOKUP($D250,'Products &amp; Pricing'!$A$14:$D$28,4,FALSE),""))</f>
        <v/>
      </c>
      <c r="G250" s="28">
        <f>IF($D250="","",N(E250)*N(F250))</f>
        <v/>
      </c>
      <c r="H250" s="27" t="n"/>
      <c r="I250" s="27" t="n"/>
      <c r="J250" s="28">
        <f>IF($D250="","",N(G250)+N(H250)-N(I250))</f>
        <v/>
      </c>
      <c r="K250" s="27" t="n"/>
      <c r="L250" s="28">
        <f>IF($D250="","",N(J250)-N(K250))</f>
        <v/>
      </c>
    </row>
    <row r="251">
      <c r="A251" s="38" t="n"/>
      <c r="B251" s="12" t="n"/>
      <c r="C251" s="12" t="n"/>
      <c r="D251" s="12" t="n"/>
      <c r="E251" s="43" t="n"/>
      <c r="F251" s="28">
        <f>IF($D251="","",IFERROR(VLOOKUP($D251,'Products &amp; Pricing'!$A$14:$D$28,4,FALSE),""))</f>
        <v/>
      </c>
      <c r="G251" s="28">
        <f>IF($D251="","",N(E251)*N(F251))</f>
        <v/>
      </c>
      <c r="H251" s="27" t="n"/>
      <c r="I251" s="27" t="n"/>
      <c r="J251" s="28">
        <f>IF($D251="","",N(G251)+N(H251)-N(I251))</f>
        <v/>
      </c>
      <c r="K251" s="27" t="n"/>
      <c r="L251" s="28">
        <f>IF($D251="","",N(J251)-N(K251))</f>
        <v/>
      </c>
    </row>
    <row r="252">
      <c r="A252" s="38" t="n"/>
      <c r="B252" s="12" t="n"/>
      <c r="C252" s="12" t="n"/>
      <c r="D252" s="12" t="n"/>
      <c r="E252" s="43" t="n"/>
      <c r="F252" s="28">
        <f>IF($D252="","",IFERROR(VLOOKUP($D252,'Products &amp; Pricing'!$A$14:$D$28,4,FALSE),""))</f>
        <v/>
      </c>
      <c r="G252" s="28">
        <f>IF($D252="","",N(E252)*N(F252))</f>
        <v/>
      </c>
      <c r="H252" s="27" t="n"/>
      <c r="I252" s="27" t="n"/>
      <c r="J252" s="28">
        <f>IF($D252="","",N(G252)+N(H252)-N(I252))</f>
        <v/>
      </c>
      <c r="K252" s="27" t="n"/>
      <c r="L252" s="28">
        <f>IF($D252="","",N(J252)-N(K252))</f>
        <v/>
      </c>
    </row>
    <row r="253">
      <c r="A253" s="38" t="n"/>
      <c r="B253" s="12" t="n"/>
      <c r="C253" s="12" t="n"/>
      <c r="D253" s="12" t="n"/>
      <c r="E253" s="43" t="n"/>
      <c r="F253" s="28">
        <f>IF($D253="","",IFERROR(VLOOKUP($D253,'Products &amp; Pricing'!$A$14:$D$28,4,FALSE),""))</f>
        <v/>
      </c>
      <c r="G253" s="28">
        <f>IF($D253="","",N(E253)*N(F253))</f>
        <v/>
      </c>
      <c r="H253" s="27" t="n"/>
      <c r="I253" s="27" t="n"/>
      <c r="J253" s="28">
        <f>IF($D253="","",N(G253)+N(H253)-N(I253))</f>
        <v/>
      </c>
      <c r="K253" s="27" t="n"/>
      <c r="L253" s="28">
        <f>IF($D253="","",N(J253)-N(K253))</f>
        <v/>
      </c>
    </row>
    <row r="254">
      <c r="A254" s="38" t="n"/>
      <c r="B254" s="12" t="n"/>
      <c r="C254" s="12" t="n"/>
      <c r="D254" s="12" t="n"/>
      <c r="E254" s="43" t="n"/>
      <c r="F254" s="28">
        <f>IF($D254="","",IFERROR(VLOOKUP($D254,'Products &amp; Pricing'!$A$14:$D$28,4,FALSE),""))</f>
        <v/>
      </c>
      <c r="G254" s="28">
        <f>IF($D254="","",N(E254)*N(F254))</f>
        <v/>
      </c>
      <c r="H254" s="27" t="n"/>
      <c r="I254" s="27" t="n"/>
      <c r="J254" s="28">
        <f>IF($D254="","",N(G254)+N(H254)-N(I254))</f>
        <v/>
      </c>
      <c r="K254" s="27" t="n"/>
      <c r="L254" s="28">
        <f>IF($D254="","",N(J254)-N(K254))</f>
        <v/>
      </c>
    </row>
    <row r="255">
      <c r="A255" s="38" t="n"/>
      <c r="B255" s="12" t="n"/>
      <c r="C255" s="12" t="n"/>
      <c r="D255" s="12" t="n"/>
      <c r="E255" s="43" t="n"/>
      <c r="F255" s="28">
        <f>IF($D255="","",IFERROR(VLOOKUP($D255,'Products &amp; Pricing'!$A$14:$D$28,4,FALSE),""))</f>
        <v/>
      </c>
      <c r="G255" s="28">
        <f>IF($D255="","",N(E255)*N(F255))</f>
        <v/>
      </c>
      <c r="H255" s="27" t="n"/>
      <c r="I255" s="27" t="n"/>
      <c r="J255" s="28">
        <f>IF($D255="","",N(G255)+N(H255)-N(I255))</f>
        <v/>
      </c>
      <c r="K255" s="27" t="n"/>
      <c r="L255" s="28">
        <f>IF($D255="","",N(J255)-N(K255))</f>
        <v/>
      </c>
    </row>
    <row r="256">
      <c r="A256" s="38" t="n"/>
      <c r="B256" s="12" t="n"/>
      <c r="C256" s="12" t="n"/>
      <c r="D256" s="12" t="n"/>
      <c r="E256" s="43" t="n"/>
      <c r="F256" s="28">
        <f>IF($D256="","",IFERROR(VLOOKUP($D256,'Products &amp; Pricing'!$A$14:$D$28,4,FALSE),""))</f>
        <v/>
      </c>
      <c r="G256" s="28">
        <f>IF($D256="","",N(E256)*N(F256))</f>
        <v/>
      </c>
      <c r="H256" s="27" t="n"/>
      <c r="I256" s="27" t="n"/>
      <c r="J256" s="28">
        <f>IF($D256="","",N(G256)+N(H256)-N(I256))</f>
        <v/>
      </c>
      <c r="K256" s="27" t="n"/>
      <c r="L256" s="28">
        <f>IF($D256="","",N(J256)-N(K256))</f>
        <v/>
      </c>
    </row>
    <row r="257">
      <c r="A257" s="38" t="n"/>
      <c r="B257" s="12" t="n"/>
      <c r="C257" s="12" t="n"/>
      <c r="D257" s="12" t="n"/>
      <c r="E257" s="43" t="n"/>
      <c r="F257" s="28">
        <f>IF($D257="","",IFERROR(VLOOKUP($D257,'Products &amp; Pricing'!$A$14:$D$28,4,FALSE),""))</f>
        <v/>
      </c>
      <c r="G257" s="28">
        <f>IF($D257="","",N(E257)*N(F257))</f>
        <v/>
      </c>
      <c r="H257" s="27" t="n"/>
      <c r="I257" s="27" t="n"/>
      <c r="J257" s="28">
        <f>IF($D257="","",N(G257)+N(H257)-N(I257))</f>
        <v/>
      </c>
      <c r="K257" s="27" t="n"/>
      <c r="L257" s="28">
        <f>IF($D257="","",N(J257)-N(K257))</f>
        <v/>
      </c>
    </row>
    <row r="258">
      <c r="A258" s="38" t="n"/>
      <c r="B258" s="12" t="n"/>
      <c r="C258" s="12" t="n"/>
      <c r="D258" s="12" t="n"/>
      <c r="E258" s="43" t="n"/>
      <c r="F258" s="28">
        <f>IF($D258="","",IFERROR(VLOOKUP($D258,'Products &amp; Pricing'!$A$14:$D$28,4,FALSE),""))</f>
        <v/>
      </c>
      <c r="G258" s="28">
        <f>IF($D258="","",N(E258)*N(F258))</f>
        <v/>
      </c>
      <c r="H258" s="27" t="n"/>
      <c r="I258" s="27" t="n"/>
      <c r="J258" s="28">
        <f>IF($D258="","",N(G258)+N(H258)-N(I258))</f>
        <v/>
      </c>
      <c r="K258" s="27" t="n"/>
      <c r="L258" s="28">
        <f>IF($D258="","",N(J258)-N(K258))</f>
        <v/>
      </c>
    </row>
    <row r="259">
      <c r="A259" s="38" t="n"/>
      <c r="B259" s="12" t="n"/>
      <c r="C259" s="12" t="n"/>
      <c r="D259" s="12" t="n"/>
      <c r="E259" s="43" t="n"/>
      <c r="F259" s="28">
        <f>IF($D259="","",IFERROR(VLOOKUP($D259,'Products &amp; Pricing'!$A$14:$D$28,4,FALSE),""))</f>
        <v/>
      </c>
      <c r="G259" s="28">
        <f>IF($D259="","",N(E259)*N(F259))</f>
        <v/>
      </c>
      <c r="H259" s="27" t="n"/>
      <c r="I259" s="27" t="n"/>
      <c r="J259" s="28">
        <f>IF($D259="","",N(G259)+N(H259)-N(I259))</f>
        <v/>
      </c>
      <c r="K259" s="27" t="n"/>
      <c r="L259" s="28">
        <f>IF($D259="","",N(J259)-N(K259))</f>
        <v/>
      </c>
    </row>
    <row r="260">
      <c r="A260" s="38" t="n"/>
      <c r="B260" s="12" t="n"/>
      <c r="C260" s="12" t="n"/>
      <c r="D260" s="12" t="n"/>
      <c r="E260" s="43" t="n"/>
      <c r="F260" s="28">
        <f>IF($D260="","",IFERROR(VLOOKUP($D260,'Products &amp; Pricing'!$A$14:$D$28,4,FALSE),""))</f>
        <v/>
      </c>
      <c r="G260" s="28">
        <f>IF($D260="","",N(E260)*N(F260))</f>
        <v/>
      </c>
      <c r="H260" s="27" t="n"/>
      <c r="I260" s="27" t="n"/>
      <c r="J260" s="28">
        <f>IF($D260="","",N(G260)+N(H260)-N(I260))</f>
        <v/>
      </c>
      <c r="K260" s="27" t="n"/>
      <c r="L260" s="28">
        <f>IF($D260="","",N(J260)-N(K260))</f>
        <v/>
      </c>
    </row>
    <row r="261">
      <c r="A261" s="38" t="n"/>
      <c r="B261" s="12" t="n"/>
      <c r="C261" s="12" t="n"/>
      <c r="D261" s="12" t="n"/>
      <c r="E261" s="43" t="n"/>
      <c r="F261" s="28">
        <f>IF($D261="","",IFERROR(VLOOKUP($D261,'Products &amp; Pricing'!$A$14:$D$28,4,FALSE),""))</f>
        <v/>
      </c>
      <c r="G261" s="28">
        <f>IF($D261="","",N(E261)*N(F261))</f>
        <v/>
      </c>
      <c r="H261" s="27" t="n"/>
      <c r="I261" s="27" t="n"/>
      <c r="J261" s="28">
        <f>IF($D261="","",N(G261)+N(H261)-N(I261))</f>
        <v/>
      </c>
      <c r="K261" s="27" t="n"/>
      <c r="L261" s="28">
        <f>IF($D261="","",N(J261)-N(K261))</f>
        <v/>
      </c>
    </row>
    <row r="262">
      <c r="A262" s="38" t="n"/>
      <c r="B262" s="12" t="n"/>
      <c r="C262" s="12" t="n"/>
      <c r="D262" s="12" t="n"/>
      <c r="E262" s="43" t="n"/>
      <c r="F262" s="28">
        <f>IF($D262="","",IFERROR(VLOOKUP($D262,'Products &amp; Pricing'!$A$14:$D$28,4,FALSE),""))</f>
        <v/>
      </c>
      <c r="G262" s="28">
        <f>IF($D262="","",N(E262)*N(F262))</f>
        <v/>
      </c>
      <c r="H262" s="27" t="n"/>
      <c r="I262" s="27" t="n"/>
      <c r="J262" s="28">
        <f>IF($D262="","",N(G262)+N(H262)-N(I262))</f>
        <v/>
      </c>
      <c r="K262" s="27" t="n"/>
      <c r="L262" s="28">
        <f>IF($D262="","",N(J262)-N(K262))</f>
        <v/>
      </c>
    </row>
    <row r="263">
      <c r="A263" s="38" t="n"/>
      <c r="B263" s="12" t="n"/>
      <c r="C263" s="12" t="n"/>
      <c r="D263" s="12" t="n"/>
      <c r="E263" s="43" t="n"/>
      <c r="F263" s="28">
        <f>IF($D263="","",IFERROR(VLOOKUP($D263,'Products &amp; Pricing'!$A$14:$D$28,4,FALSE),""))</f>
        <v/>
      </c>
      <c r="G263" s="28">
        <f>IF($D263="","",N(E263)*N(F263))</f>
        <v/>
      </c>
      <c r="H263" s="27" t="n"/>
      <c r="I263" s="27" t="n"/>
      <c r="J263" s="28">
        <f>IF($D263="","",N(G263)+N(H263)-N(I263))</f>
        <v/>
      </c>
      <c r="K263" s="27" t="n"/>
      <c r="L263" s="28">
        <f>IF($D263="","",N(J263)-N(K263))</f>
        <v/>
      </c>
    </row>
    <row r="264">
      <c r="A264" s="38" t="n"/>
      <c r="B264" s="12" t="n"/>
      <c r="C264" s="12" t="n"/>
      <c r="D264" s="12" t="n"/>
      <c r="E264" s="43" t="n"/>
      <c r="F264" s="28">
        <f>IF($D264="","",IFERROR(VLOOKUP($D264,'Products &amp; Pricing'!$A$14:$D$28,4,FALSE),""))</f>
        <v/>
      </c>
      <c r="G264" s="28">
        <f>IF($D264="","",N(E264)*N(F264))</f>
        <v/>
      </c>
      <c r="H264" s="27" t="n"/>
      <c r="I264" s="27" t="n"/>
      <c r="J264" s="28">
        <f>IF($D264="","",N(G264)+N(H264)-N(I264))</f>
        <v/>
      </c>
      <c r="K264" s="27" t="n"/>
      <c r="L264" s="28">
        <f>IF($D264="","",N(J264)-N(K264))</f>
        <v/>
      </c>
    </row>
    <row r="265">
      <c r="A265" s="38" t="n"/>
      <c r="B265" s="12" t="n"/>
      <c r="C265" s="12" t="n"/>
      <c r="D265" s="12" t="n"/>
      <c r="E265" s="43" t="n"/>
      <c r="F265" s="28">
        <f>IF($D265="","",IFERROR(VLOOKUP($D265,'Products &amp; Pricing'!$A$14:$D$28,4,FALSE),""))</f>
        <v/>
      </c>
      <c r="G265" s="28">
        <f>IF($D265="","",N(E265)*N(F265))</f>
        <v/>
      </c>
      <c r="H265" s="27" t="n"/>
      <c r="I265" s="27" t="n"/>
      <c r="J265" s="28">
        <f>IF($D265="","",N(G265)+N(H265)-N(I265))</f>
        <v/>
      </c>
      <c r="K265" s="27" t="n"/>
      <c r="L265" s="28">
        <f>IF($D265="","",N(J265)-N(K265))</f>
        <v/>
      </c>
    </row>
    <row r="266">
      <c r="A266" s="38" t="n"/>
      <c r="B266" s="12" t="n"/>
      <c r="C266" s="12" t="n"/>
      <c r="D266" s="12" t="n"/>
      <c r="E266" s="43" t="n"/>
      <c r="F266" s="28">
        <f>IF($D266="","",IFERROR(VLOOKUP($D266,'Products &amp; Pricing'!$A$14:$D$28,4,FALSE),""))</f>
        <v/>
      </c>
      <c r="G266" s="28">
        <f>IF($D266="","",N(E266)*N(F266))</f>
        <v/>
      </c>
      <c r="H266" s="27" t="n"/>
      <c r="I266" s="27" t="n"/>
      <c r="J266" s="28">
        <f>IF($D266="","",N(G266)+N(H266)-N(I266))</f>
        <v/>
      </c>
      <c r="K266" s="27" t="n"/>
      <c r="L266" s="28">
        <f>IF($D266="","",N(J266)-N(K266))</f>
        <v/>
      </c>
    </row>
    <row r="267">
      <c r="A267" s="38" t="n"/>
      <c r="B267" s="12" t="n"/>
      <c r="C267" s="12" t="n"/>
      <c r="D267" s="12" t="n"/>
      <c r="E267" s="43" t="n"/>
      <c r="F267" s="28">
        <f>IF($D267="","",IFERROR(VLOOKUP($D267,'Products &amp; Pricing'!$A$14:$D$28,4,FALSE),""))</f>
        <v/>
      </c>
      <c r="G267" s="28">
        <f>IF($D267="","",N(E267)*N(F267))</f>
        <v/>
      </c>
      <c r="H267" s="27" t="n"/>
      <c r="I267" s="27" t="n"/>
      <c r="J267" s="28">
        <f>IF($D267="","",N(G267)+N(H267)-N(I267))</f>
        <v/>
      </c>
      <c r="K267" s="27" t="n"/>
      <c r="L267" s="28">
        <f>IF($D267="","",N(J267)-N(K267))</f>
        <v/>
      </c>
    </row>
    <row r="268">
      <c r="A268" s="38" t="n"/>
      <c r="B268" s="12" t="n"/>
      <c r="C268" s="12" t="n"/>
      <c r="D268" s="12" t="n"/>
      <c r="E268" s="43" t="n"/>
      <c r="F268" s="28">
        <f>IF($D268="","",IFERROR(VLOOKUP($D268,'Products &amp; Pricing'!$A$14:$D$28,4,FALSE),""))</f>
        <v/>
      </c>
      <c r="G268" s="28">
        <f>IF($D268="","",N(E268)*N(F268))</f>
        <v/>
      </c>
      <c r="H268" s="27" t="n"/>
      <c r="I268" s="27" t="n"/>
      <c r="J268" s="28">
        <f>IF($D268="","",N(G268)+N(H268)-N(I268))</f>
        <v/>
      </c>
      <c r="K268" s="27" t="n"/>
      <c r="L268" s="28">
        <f>IF($D268="","",N(J268)-N(K268))</f>
        <v/>
      </c>
    </row>
    <row r="269">
      <c r="A269" s="38" t="n"/>
      <c r="B269" s="12" t="n"/>
      <c r="C269" s="12" t="n"/>
      <c r="D269" s="12" t="n"/>
      <c r="E269" s="43" t="n"/>
      <c r="F269" s="28">
        <f>IF($D269="","",IFERROR(VLOOKUP($D269,'Products &amp; Pricing'!$A$14:$D$28,4,FALSE),""))</f>
        <v/>
      </c>
      <c r="G269" s="28">
        <f>IF($D269="","",N(E269)*N(F269))</f>
        <v/>
      </c>
      <c r="H269" s="27" t="n"/>
      <c r="I269" s="27" t="n"/>
      <c r="J269" s="28">
        <f>IF($D269="","",N(G269)+N(H269)-N(I269))</f>
        <v/>
      </c>
      <c r="K269" s="27" t="n"/>
      <c r="L269" s="28">
        <f>IF($D269="","",N(J269)-N(K269))</f>
        <v/>
      </c>
    </row>
    <row r="270">
      <c r="A270" s="38" t="n"/>
      <c r="B270" s="12" t="n"/>
      <c r="C270" s="12" t="n"/>
      <c r="D270" s="12" t="n"/>
      <c r="E270" s="43" t="n"/>
      <c r="F270" s="28">
        <f>IF($D270="","",IFERROR(VLOOKUP($D270,'Products &amp; Pricing'!$A$14:$D$28,4,FALSE),""))</f>
        <v/>
      </c>
      <c r="G270" s="28">
        <f>IF($D270="","",N(E270)*N(F270))</f>
        <v/>
      </c>
      <c r="H270" s="27" t="n"/>
      <c r="I270" s="27" t="n"/>
      <c r="J270" s="28">
        <f>IF($D270="","",N(G270)+N(H270)-N(I270))</f>
        <v/>
      </c>
      <c r="K270" s="27" t="n"/>
      <c r="L270" s="28">
        <f>IF($D270="","",N(J270)-N(K270))</f>
        <v/>
      </c>
    </row>
    <row r="271">
      <c r="A271" s="38" t="n"/>
      <c r="B271" s="12" t="n"/>
      <c r="C271" s="12" t="n"/>
      <c r="D271" s="12" t="n"/>
      <c r="E271" s="43" t="n"/>
      <c r="F271" s="28">
        <f>IF($D271="","",IFERROR(VLOOKUP($D271,'Products &amp; Pricing'!$A$14:$D$28,4,FALSE),""))</f>
        <v/>
      </c>
      <c r="G271" s="28">
        <f>IF($D271="","",N(E271)*N(F271))</f>
        <v/>
      </c>
      <c r="H271" s="27" t="n"/>
      <c r="I271" s="27" t="n"/>
      <c r="J271" s="28">
        <f>IF($D271="","",N(G271)+N(H271)-N(I271))</f>
        <v/>
      </c>
      <c r="K271" s="27" t="n"/>
      <c r="L271" s="28">
        <f>IF($D271="","",N(J271)-N(K271))</f>
        <v/>
      </c>
    </row>
    <row r="272">
      <c r="A272" s="38" t="n"/>
      <c r="B272" s="12" t="n"/>
      <c r="C272" s="12" t="n"/>
      <c r="D272" s="12" t="n"/>
      <c r="E272" s="43" t="n"/>
      <c r="F272" s="28">
        <f>IF($D272="","",IFERROR(VLOOKUP($D272,'Products &amp; Pricing'!$A$14:$D$28,4,FALSE),""))</f>
        <v/>
      </c>
      <c r="G272" s="28">
        <f>IF($D272="","",N(E272)*N(F272))</f>
        <v/>
      </c>
      <c r="H272" s="27" t="n"/>
      <c r="I272" s="27" t="n"/>
      <c r="J272" s="28">
        <f>IF($D272="","",N(G272)+N(H272)-N(I272))</f>
        <v/>
      </c>
      <c r="K272" s="27" t="n"/>
      <c r="L272" s="28">
        <f>IF($D272="","",N(J272)-N(K272))</f>
        <v/>
      </c>
    </row>
    <row r="273">
      <c r="A273" s="38" t="n"/>
      <c r="B273" s="12" t="n"/>
      <c r="C273" s="12" t="n"/>
      <c r="D273" s="12" t="n"/>
      <c r="E273" s="43" t="n"/>
      <c r="F273" s="28">
        <f>IF($D273="","",IFERROR(VLOOKUP($D273,'Products &amp; Pricing'!$A$14:$D$28,4,FALSE),""))</f>
        <v/>
      </c>
      <c r="G273" s="28">
        <f>IF($D273="","",N(E273)*N(F273))</f>
        <v/>
      </c>
      <c r="H273" s="27" t="n"/>
      <c r="I273" s="27" t="n"/>
      <c r="J273" s="28">
        <f>IF($D273="","",N(G273)+N(H273)-N(I273))</f>
        <v/>
      </c>
      <c r="K273" s="27" t="n"/>
      <c r="L273" s="28">
        <f>IF($D273="","",N(J273)-N(K273))</f>
        <v/>
      </c>
    </row>
    <row r="274">
      <c r="A274" s="38" t="n"/>
      <c r="B274" s="12" t="n"/>
      <c r="C274" s="12" t="n"/>
      <c r="D274" s="12" t="n"/>
      <c r="E274" s="43" t="n"/>
      <c r="F274" s="28">
        <f>IF($D274="","",IFERROR(VLOOKUP($D274,'Products &amp; Pricing'!$A$14:$D$28,4,FALSE),""))</f>
        <v/>
      </c>
      <c r="G274" s="28">
        <f>IF($D274="","",N(E274)*N(F274))</f>
        <v/>
      </c>
      <c r="H274" s="27" t="n"/>
      <c r="I274" s="27" t="n"/>
      <c r="J274" s="28">
        <f>IF($D274="","",N(G274)+N(H274)-N(I274))</f>
        <v/>
      </c>
      <c r="K274" s="27" t="n"/>
      <c r="L274" s="28">
        <f>IF($D274="","",N(J274)-N(K274))</f>
        <v/>
      </c>
    </row>
    <row r="275">
      <c r="A275" s="38" t="n"/>
      <c r="B275" s="12" t="n"/>
      <c r="C275" s="12" t="n"/>
      <c r="D275" s="12" t="n"/>
      <c r="E275" s="43" t="n"/>
      <c r="F275" s="28">
        <f>IF($D275="","",IFERROR(VLOOKUP($D275,'Products &amp; Pricing'!$A$14:$D$28,4,FALSE),""))</f>
        <v/>
      </c>
      <c r="G275" s="28">
        <f>IF($D275="","",N(E275)*N(F275))</f>
        <v/>
      </c>
      <c r="H275" s="27" t="n"/>
      <c r="I275" s="27" t="n"/>
      <c r="J275" s="28">
        <f>IF($D275="","",N(G275)+N(H275)-N(I275))</f>
        <v/>
      </c>
      <c r="K275" s="27" t="n"/>
      <c r="L275" s="28">
        <f>IF($D275="","",N(J275)-N(K275))</f>
        <v/>
      </c>
    </row>
    <row r="276">
      <c r="A276" s="38" t="n"/>
      <c r="B276" s="12" t="n"/>
      <c r="C276" s="12" t="n"/>
      <c r="D276" s="12" t="n"/>
      <c r="E276" s="43" t="n"/>
      <c r="F276" s="28">
        <f>IF($D276="","",IFERROR(VLOOKUP($D276,'Products &amp; Pricing'!$A$14:$D$28,4,FALSE),""))</f>
        <v/>
      </c>
      <c r="G276" s="28">
        <f>IF($D276="","",N(E276)*N(F276))</f>
        <v/>
      </c>
      <c r="H276" s="27" t="n"/>
      <c r="I276" s="27" t="n"/>
      <c r="J276" s="28">
        <f>IF($D276="","",N(G276)+N(H276)-N(I276))</f>
        <v/>
      </c>
      <c r="K276" s="27" t="n"/>
      <c r="L276" s="28">
        <f>IF($D276="","",N(J276)-N(K276))</f>
        <v/>
      </c>
    </row>
    <row r="277">
      <c r="A277" s="38" t="n"/>
      <c r="B277" s="12" t="n"/>
      <c r="C277" s="12" t="n"/>
      <c r="D277" s="12" t="n"/>
      <c r="E277" s="43" t="n"/>
      <c r="F277" s="28">
        <f>IF($D277="","",IFERROR(VLOOKUP($D277,'Products &amp; Pricing'!$A$14:$D$28,4,FALSE),""))</f>
        <v/>
      </c>
      <c r="G277" s="28">
        <f>IF($D277="","",N(E277)*N(F277))</f>
        <v/>
      </c>
      <c r="H277" s="27" t="n"/>
      <c r="I277" s="27" t="n"/>
      <c r="J277" s="28">
        <f>IF($D277="","",N(G277)+N(H277)-N(I277))</f>
        <v/>
      </c>
      <c r="K277" s="27" t="n"/>
      <c r="L277" s="28">
        <f>IF($D277="","",N(J277)-N(K277))</f>
        <v/>
      </c>
    </row>
    <row r="278">
      <c r="A278" s="38" t="n"/>
      <c r="B278" s="12" t="n"/>
      <c r="C278" s="12" t="n"/>
      <c r="D278" s="12" t="n"/>
      <c r="E278" s="43" t="n"/>
      <c r="F278" s="28">
        <f>IF($D278="","",IFERROR(VLOOKUP($D278,'Products &amp; Pricing'!$A$14:$D$28,4,FALSE),""))</f>
        <v/>
      </c>
      <c r="G278" s="28">
        <f>IF($D278="","",N(E278)*N(F278))</f>
        <v/>
      </c>
      <c r="H278" s="27" t="n"/>
      <c r="I278" s="27" t="n"/>
      <c r="J278" s="28">
        <f>IF($D278="","",N(G278)+N(H278)-N(I278))</f>
        <v/>
      </c>
      <c r="K278" s="27" t="n"/>
      <c r="L278" s="28">
        <f>IF($D278="","",N(J278)-N(K278))</f>
        <v/>
      </c>
    </row>
    <row r="279">
      <c r="A279" s="38" t="n"/>
      <c r="B279" s="12" t="n"/>
      <c r="C279" s="12" t="n"/>
      <c r="D279" s="12" t="n"/>
      <c r="E279" s="43" t="n"/>
      <c r="F279" s="28">
        <f>IF($D279="","",IFERROR(VLOOKUP($D279,'Products &amp; Pricing'!$A$14:$D$28,4,FALSE),""))</f>
        <v/>
      </c>
      <c r="G279" s="28">
        <f>IF($D279="","",N(E279)*N(F279))</f>
        <v/>
      </c>
      <c r="H279" s="27" t="n"/>
      <c r="I279" s="27" t="n"/>
      <c r="J279" s="28">
        <f>IF($D279="","",N(G279)+N(H279)-N(I279))</f>
        <v/>
      </c>
      <c r="K279" s="27" t="n"/>
      <c r="L279" s="28">
        <f>IF($D279="","",N(J279)-N(K279))</f>
        <v/>
      </c>
    </row>
    <row r="280">
      <c r="A280" s="38" t="n"/>
      <c r="B280" s="12" t="n"/>
      <c r="C280" s="12" t="n"/>
      <c r="D280" s="12" t="n"/>
      <c r="E280" s="43" t="n"/>
      <c r="F280" s="28">
        <f>IF($D280="","",IFERROR(VLOOKUP($D280,'Products &amp; Pricing'!$A$14:$D$28,4,FALSE),""))</f>
        <v/>
      </c>
      <c r="G280" s="28">
        <f>IF($D280="","",N(E280)*N(F280))</f>
        <v/>
      </c>
      <c r="H280" s="27" t="n"/>
      <c r="I280" s="27" t="n"/>
      <c r="J280" s="28">
        <f>IF($D280="","",N(G280)+N(H280)-N(I280))</f>
        <v/>
      </c>
      <c r="K280" s="27" t="n"/>
      <c r="L280" s="28">
        <f>IF($D280="","",N(J280)-N(K280))</f>
        <v/>
      </c>
    </row>
    <row r="281">
      <c r="A281" s="38" t="n"/>
      <c r="B281" s="12" t="n"/>
      <c r="C281" s="12" t="n"/>
      <c r="D281" s="12" t="n"/>
      <c r="E281" s="43" t="n"/>
      <c r="F281" s="28">
        <f>IF($D281="","",IFERROR(VLOOKUP($D281,'Products &amp; Pricing'!$A$14:$D$28,4,FALSE),""))</f>
        <v/>
      </c>
      <c r="G281" s="28">
        <f>IF($D281="","",N(E281)*N(F281))</f>
        <v/>
      </c>
      <c r="H281" s="27" t="n"/>
      <c r="I281" s="27" t="n"/>
      <c r="J281" s="28">
        <f>IF($D281="","",N(G281)+N(H281)-N(I281))</f>
        <v/>
      </c>
      <c r="K281" s="27" t="n"/>
      <c r="L281" s="28">
        <f>IF($D281="","",N(J281)-N(K281))</f>
        <v/>
      </c>
    </row>
    <row r="282">
      <c r="A282" s="38" t="n"/>
      <c r="B282" s="12" t="n"/>
      <c r="C282" s="12" t="n"/>
      <c r="D282" s="12" t="n"/>
      <c r="E282" s="43" t="n"/>
      <c r="F282" s="28">
        <f>IF($D282="","",IFERROR(VLOOKUP($D282,'Products &amp; Pricing'!$A$14:$D$28,4,FALSE),""))</f>
        <v/>
      </c>
      <c r="G282" s="28">
        <f>IF($D282="","",N(E282)*N(F282))</f>
        <v/>
      </c>
      <c r="H282" s="27" t="n"/>
      <c r="I282" s="27" t="n"/>
      <c r="J282" s="28">
        <f>IF($D282="","",N(G282)+N(H282)-N(I282))</f>
        <v/>
      </c>
      <c r="K282" s="27" t="n"/>
      <c r="L282" s="28">
        <f>IF($D282="","",N(J282)-N(K282))</f>
        <v/>
      </c>
    </row>
    <row r="283">
      <c r="A283" s="38" t="n"/>
      <c r="B283" s="12" t="n"/>
      <c r="C283" s="12" t="n"/>
      <c r="D283" s="12" t="n"/>
      <c r="E283" s="43" t="n"/>
      <c r="F283" s="28">
        <f>IF($D283="","",IFERROR(VLOOKUP($D283,'Products &amp; Pricing'!$A$14:$D$28,4,FALSE),""))</f>
        <v/>
      </c>
      <c r="G283" s="28">
        <f>IF($D283="","",N(E283)*N(F283))</f>
        <v/>
      </c>
      <c r="H283" s="27" t="n"/>
      <c r="I283" s="27" t="n"/>
      <c r="J283" s="28">
        <f>IF($D283="","",N(G283)+N(H283)-N(I283))</f>
        <v/>
      </c>
      <c r="K283" s="27" t="n"/>
      <c r="L283" s="28">
        <f>IF($D283="","",N(J283)-N(K283))</f>
        <v/>
      </c>
    </row>
    <row r="284">
      <c r="A284" s="38" t="n"/>
      <c r="B284" s="12" t="n"/>
      <c r="C284" s="12" t="n"/>
      <c r="D284" s="12" t="n"/>
      <c r="E284" s="43" t="n"/>
      <c r="F284" s="28">
        <f>IF($D284="","",IFERROR(VLOOKUP($D284,'Products &amp; Pricing'!$A$14:$D$28,4,FALSE),""))</f>
        <v/>
      </c>
      <c r="G284" s="28">
        <f>IF($D284="","",N(E284)*N(F284))</f>
        <v/>
      </c>
      <c r="H284" s="27" t="n"/>
      <c r="I284" s="27" t="n"/>
      <c r="J284" s="28">
        <f>IF($D284="","",N(G284)+N(H284)-N(I284))</f>
        <v/>
      </c>
      <c r="K284" s="27" t="n"/>
      <c r="L284" s="28">
        <f>IF($D284="","",N(J284)-N(K284))</f>
        <v/>
      </c>
    </row>
    <row r="285">
      <c r="A285" s="38" t="n"/>
      <c r="B285" s="12" t="n"/>
      <c r="C285" s="12" t="n"/>
      <c r="D285" s="12" t="n"/>
      <c r="E285" s="43" t="n"/>
      <c r="F285" s="28">
        <f>IF($D285="","",IFERROR(VLOOKUP($D285,'Products &amp; Pricing'!$A$14:$D$28,4,FALSE),""))</f>
        <v/>
      </c>
      <c r="G285" s="28">
        <f>IF($D285="","",N(E285)*N(F285))</f>
        <v/>
      </c>
      <c r="H285" s="27" t="n"/>
      <c r="I285" s="27" t="n"/>
      <c r="J285" s="28">
        <f>IF($D285="","",N(G285)+N(H285)-N(I285))</f>
        <v/>
      </c>
      <c r="K285" s="27" t="n"/>
      <c r="L285" s="28">
        <f>IF($D285="","",N(J285)-N(K285))</f>
        <v/>
      </c>
    </row>
    <row r="286">
      <c r="A286" s="38" t="n"/>
      <c r="B286" s="12" t="n"/>
      <c r="C286" s="12" t="n"/>
      <c r="D286" s="12" t="n"/>
      <c r="E286" s="43" t="n"/>
      <c r="F286" s="28">
        <f>IF($D286="","",IFERROR(VLOOKUP($D286,'Products &amp; Pricing'!$A$14:$D$28,4,FALSE),""))</f>
        <v/>
      </c>
      <c r="G286" s="28">
        <f>IF($D286="","",N(E286)*N(F286))</f>
        <v/>
      </c>
      <c r="H286" s="27" t="n"/>
      <c r="I286" s="27" t="n"/>
      <c r="J286" s="28">
        <f>IF($D286="","",N(G286)+N(H286)-N(I286))</f>
        <v/>
      </c>
      <c r="K286" s="27" t="n"/>
      <c r="L286" s="28">
        <f>IF($D286="","",N(J286)-N(K286))</f>
        <v/>
      </c>
    </row>
    <row r="287">
      <c r="A287" s="38" t="n"/>
      <c r="B287" s="12" t="n"/>
      <c r="C287" s="12" t="n"/>
      <c r="D287" s="12" t="n"/>
      <c r="E287" s="43" t="n"/>
      <c r="F287" s="28">
        <f>IF($D287="","",IFERROR(VLOOKUP($D287,'Products &amp; Pricing'!$A$14:$D$28,4,FALSE),""))</f>
        <v/>
      </c>
      <c r="G287" s="28">
        <f>IF($D287="","",N(E287)*N(F287))</f>
        <v/>
      </c>
      <c r="H287" s="27" t="n"/>
      <c r="I287" s="27" t="n"/>
      <c r="J287" s="28">
        <f>IF($D287="","",N(G287)+N(H287)-N(I287))</f>
        <v/>
      </c>
      <c r="K287" s="27" t="n"/>
      <c r="L287" s="28">
        <f>IF($D287="","",N(J287)-N(K287))</f>
        <v/>
      </c>
    </row>
    <row r="288">
      <c r="A288" s="38" t="n"/>
      <c r="B288" s="12" t="n"/>
      <c r="C288" s="12" t="n"/>
      <c r="D288" s="12" t="n"/>
      <c r="E288" s="43" t="n"/>
      <c r="F288" s="28">
        <f>IF($D288="","",IFERROR(VLOOKUP($D288,'Products &amp; Pricing'!$A$14:$D$28,4,FALSE),""))</f>
        <v/>
      </c>
      <c r="G288" s="28">
        <f>IF($D288="","",N(E288)*N(F288))</f>
        <v/>
      </c>
      <c r="H288" s="27" t="n"/>
      <c r="I288" s="27" t="n"/>
      <c r="J288" s="28">
        <f>IF($D288="","",N(G288)+N(H288)-N(I288))</f>
        <v/>
      </c>
      <c r="K288" s="27" t="n"/>
      <c r="L288" s="28">
        <f>IF($D288="","",N(J288)-N(K288))</f>
        <v/>
      </c>
    </row>
    <row r="289">
      <c r="A289" s="38" t="n"/>
      <c r="B289" s="12" t="n"/>
      <c r="C289" s="12" t="n"/>
      <c r="D289" s="12" t="n"/>
      <c r="E289" s="43" t="n"/>
      <c r="F289" s="28">
        <f>IF($D289="","",IFERROR(VLOOKUP($D289,'Products &amp; Pricing'!$A$14:$D$28,4,FALSE),""))</f>
        <v/>
      </c>
      <c r="G289" s="28">
        <f>IF($D289="","",N(E289)*N(F289))</f>
        <v/>
      </c>
      <c r="H289" s="27" t="n"/>
      <c r="I289" s="27" t="n"/>
      <c r="J289" s="28">
        <f>IF($D289="","",N(G289)+N(H289)-N(I289))</f>
        <v/>
      </c>
      <c r="K289" s="27" t="n"/>
      <c r="L289" s="28">
        <f>IF($D289="","",N(J289)-N(K289))</f>
        <v/>
      </c>
    </row>
    <row r="290">
      <c r="A290" s="38" t="n"/>
      <c r="B290" s="12" t="n"/>
      <c r="C290" s="12" t="n"/>
      <c r="D290" s="12" t="n"/>
      <c r="E290" s="43" t="n"/>
      <c r="F290" s="28">
        <f>IF($D290="","",IFERROR(VLOOKUP($D290,'Products &amp; Pricing'!$A$14:$D$28,4,FALSE),""))</f>
        <v/>
      </c>
      <c r="G290" s="28">
        <f>IF($D290="","",N(E290)*N(F290))</f>
        <v/>
      </c>
      <c r="H290" s="27" t="n"/>
      <c r="I290" s="27" t="n"/>
      <c r="J290" s="28">
        <f>IF($D290="","",N(G290)+N(H290)-N(I290))</f>
        <v/>
      </c>
      <c r="K290" s="27" t="n"/>
      <c r="L290" s="28">
        <f>IF($D290="","",N(J290)-N(K290))</f>
        <v/>
      </c>
    </row>
    <row r="291">
      <c r="A291" s="38" t="n"/>
      <c r="B291" s="12" t="n"/>
      <c r="C291" s="12" t="n"/>
      <c r="D291" s="12" t="n"/>
      <c r="E291" s="43" t="n"/>
      <c r="F291" s="28">
        <f>IF($D291="","",IFERROR(VLOOKUP($D291,'Products &amp; Pricing'!$A$14:$D$28,4,FALSE),""))</f>
        <v/>
      </c>
      <c r="G291" s="28">
        <f>IF($D291="","",N(E291)*N(F291))</f>
        <v/>
      </c>
      <c r="H291" s="27" t="n"/>
      <c r="I291" s="27" t="n"/>
      <c r="J291" s="28">
        <f>IF($D291="","",N(G291)+N(H291)-N(I291))</f>
        <v/>
      </c>
      <c r="K291" s="27" t="n"/>
      <c r="L291" s="28">
        <f>IF($D291="","",N(J291)-N(K291))</f>
        <v/>
      </c>
    </row>
    <row r="292">
      <c r="A292" s="38" t="n"/>
      <c r="B292" s="12" t="n"/>
      <c r="C292" s="12" t="n"/>
      <c r="D292" s="12" t="n"/>
      <c r="E292" s="43" t="n"/>
      <c r="F292" s="28">
        <f>IF($D292="","",IFERROR(VLOOKUP($D292,'Products &amp; Pricing'!$A$14:$D$28,4,FALSE),""))</f>
        <v/>
      </c>
      <c r="G292" s="28">
        <f>IF($D292="","",N(E292)*N(F292))</f>
        <v/>
      </c>
      <c r="H292" s="27" t="n"/>
      <c r="I292" s="27" t="n"/>
      <c r="J292" s="28">
        <f>IF($D292="","",N(G292)+N(H292)-N(I292))</f>
        <v/>
      </c>
      <c r="K292" s="27" t="n"/>
      <c r="L292" s="28">
        <f>IF($D292="","",N(J292)-N(K292))</f>
        <v/>
      </c>
    </row>
    <row r="293">
      <c r="A293" s="38" t="n"/>
      <c r="B293" s="12" t="n"/>
      <c r="C293" s="12" t="n"/>
      <c r="D293" s="12" t="n"/>
      <c r="E293" s="43" t="n"/>
      <c r="F293" s="28">
        <f>IF($D293="","",IFERROR(VLOOKUP($D293,'Products &amp; Pricing'!$A$14:$D$28,4,FALSE),""))</f>
        <v/>
      </c>
      <c r="G293" s="28">
        <f>IF($D293="","",N(E293)*N(F293))</f>
        <v/>
      </c>
      <c r="H293" s="27" t="n"/>
      <c r="I293" s="27" t="n"/>
      <c r="J293" s="28">
        <f>IF($D293="","",N(G293)+N(H293)-N(I293))</f>
        <v/>
      </c>
      <c r="K293" s="27" t="n"/>
      <c r="L293" s="28">
        <f>IF($D293="","",N(J293)-N(K293))</f>
        <v/>
      </c>
    </row>
    <row r="294">
      <c r="A294" s="38" t="n"/>
      <c r="B294" s="12" t="n"/>
      <c r="C294" s="12" t="n"/>
      <c r="D294" s="12" t="n"/>
      <c r="E294" s="43" t="n"/>
      <c r="F294" s="28">
        <f>IF($D294="","",IFERROR(VLOOKUP($D294,'Products &amp; Pricing'!$A$14:$D$28,4,FALSE),""))</f>
        <v/>
      </c>
      <c r="G294" s="28">
        <f>IF($D294="","",N(E294)*N(F294))</f>
        <v/>
      </c>
      <c r="H294" s="27" t="n"/>
      <c r="I294" s="27" t="n"/>
      <c r="J294" s="28">
        <f>IF($D294="","",N(G294)+N(H294)-N(I294))</f>
        <v/>
      </c>
      <c r="K294" s="27" t="n"/>
      <c r="L294" s="28">
        <f>IF($D294="","",N(J294)-N(K294))</f>
        <v/>
      </c>
    </row>
    <row r="295">
      <c r="A295" s="38" t="n"/>
      <c r="B295" s="12" t="n"/>
      <c r="C295" s="12" t="n"/>
      <c r="D295" s="12" t="n"/>
      <c r="E295" s="43" t="n"/>
      <c r="F295" s="28">
        <f>IF($D295="","",IFERROR(VLOOKUP($D295,'Products &amp; Pricing'!$A$14:$D$28,4,FALSE),""))</f>
        <v/>
      </c>
      <c r="G295" s="28">
        <f>IF($D295="","",N(E295)*N(F295))</f>
        <v/>
      </c>
      <c r="H295" s="27" t="n"/>
      <c r="I295" s="27" t="n"/>
      <c r="J295" s="28">
        <f>IF($D295="","",N(G295)+N(H295)-N(I295))</f>
        <v/>
      </c>
      <c r="K295" s="27" t="n"/>
      <c r="L295" s="28">
        <f>IF($D295="","",N(J295)-N(K295))</f>
        <v/>
      </c>
    </row>
    <row r="296">
      <c r="A296" s="38" t="n"/>
      <c r="B296" s="12" t="n"/>
      <c r="C296" s="12" t="n"/>
      <c r="D296" s="12" t="n"/>
      <c r="E296" s="43" t="n"/>
      <c r="F296" s="28">
        <f>IF($D296="","",IFERROR(VLOOKUP($D296,'Products &amp; Pricing'!$A$14:$D$28,4,FALSE),""))</f>
        <v/>
      </c>
      <c r="G296" s="28">
        <f>IF($D296="","",N(E296)*N(F296))</f>
        <v/>
      </c>
      <c r="H296" s="27" t="n"/>
      <c r="I296" s="27" t="n"/>
      <c r="J296" s="28">
        <f>IF($D296="","",N(G296)+N(H296)-N(I296))</f>
        <v/>
      </c>
      <c r="K296" s="27" t="n"/>
      <c r="L296" s="28">
        <f>IF($D296="","",N(J296)-N(K296))</f>
        <v/>
      </c>
    </row>
    <row r="297">
      <c r="A297" s="38" t="n"/>
      <c r="B297" s="12" t="n"/>
      <c r="C297" s="12" t="n"/>
      <c r="D297" s="12" t="n"/>
      <c r="E297" s="43" t="n"/>
      <c r="F297" s="28">
        <f>IF($D297="","",IFERROR(VLOOKUP($D297,'Products &amp; Pricing'!$A$14:$D$28,4,FALSE),""))</f>
        <v/>
      </c>
      <c r="G297" s="28">
        <f>IF($D297="","",N(E297)*N(F297))</f>
        <v/>
      </c>
      <c r="H297" s="27" t="n"/>
      <c r="I297" s="27" t="n"/>
      <c r="J297" s="28">
        <f>IF($D297="","",N(G297)+N(H297)-N(I297))</f>
        <v/>
      </c>
      <c r="K297" s="27" t="n"/>
      <c r="L297" s="28">
        <f>IF($D297="","",N(J297)-N(K297))</f>
        <v/>
      </c>
    </row>
    <row r="298">
      <c r="A298" s="38" t="n"/>
      <c r="B298" s="12" t="n"/>
      <c r="C298" s="12" t="n"/>
      <c r="D298" s="12" t="n"/>
      <c r="E298" s="43" t="n"/>
      <c r="F298" s="28">
        <f>IF($D298="","",IFERROR(VLOOKUP($D298,'Products &amp; Pricing'!$A$14:$D$28,4,FALSE),""))</f>
        <v/>
      </c>
      <c r="G298" s="28">
        <f>IF($D298="","",N(E298)*N(F298))</f>
        <v/>
      </c>
      <c r="H298" s="27" t="n"/>
      <c r="I298" s="27" t="n"/>
      <c r="J298" s="28">
        <f>IF($D298="","",N(G298)+N(H298)-N(I298))</f>
        <v/>
      </c>
      <c r="K298" s="27" t="n"/>
      <c r="L298" s="28">
        <f>IF($D298="","",N(J298)-N(K298))</f>
        <v/>
      </c>
    </row>
    <row r="299">
      <c r="A299" s="38" t="n"/>
      <c r="B299" s="12" t="n"/>
      <c r="C299" s="12" t="n"/>
      <c r="D299" s="12" t="n"/>
      <c r="E299" s="43" t="n"/>
      <c r="F299" s="28">
        <f>IF($D299="","",IFERROR(VLOOKUP($D299,'Products &amp; Pricing'!$A$14:$D$28,4,FALSE),""))</f>
        <v/>
      </c>
      <c r="G299" s="28">
        <f>IF($D299="","",N(E299)*N(F299))</f>
        <v/>
      </c>
      <c r="H299" s="27" t="n"/>
      <c r="I299" s="27" t="n"/>
      <c r="J299" s="28">
        <f>IF($D299="","",N(G299)+N(H299)-N(I299))</f>
        <v/>
      </c>
      <c r="K299" s="27" t="n"/>
      <c r="L299" s="28">
        <f>IF($D299="","",N(J299)-N(K299))</f>
        <v/>
      </c>
    </row>
    <row r="300">
      <c r="A300" s="38" t="n"/>
      <c r="B300" s="12" t="n"/>
      <c r="C300" s="12" t="n"/>
      <c r="D300" s="12" t="n"/>
      <c r="E300" s="43" t="n"/>
      <c r="F300" s="28">
        <f>IF($D300="","",IFERROR(VLOOKUP($D300,'Products &amp; Pricing'!$A$14:$D$28,4,FALSE),""))</f>
        <v/>
      </c>
      <c r="G300" s="28">
        <f>IF($D300="","",N(E300)*N(F300))</f>
        <v/>
      </c>
      <c r="H300" s="27" t="n"/>
      <c r="I300" s="27" t="n"/>
      <c r="J300" s="28">
        <f>IF($D300="","",N(G300)+N(H300)-N(I300))</f>
        <v/>
      </c>
      <c r="K300" s="27" t="n"/>
      <c r="L300" s="28">
        <f>IF($D300="","",N(J300)-N(K300))</f>
        <v/>
      </c>
    </row>
    <row r="301">
      <c r="A301" s="38" t="n"/>
      <c r="B301" s="12" t="n"/>
      <c r="C301" s="12" t="n"/>
      <c r="D301" s="12" t="n"/>
      <c r="E301" s="43" t="n"/>
      <c r="F301" s="28">
        <f>IF($D301="","",IFERROR(VLOOKUP($D301,'Products &amp; Pricing'!$A$14:$D$28,4,FALSE),""))</f>
        <v/>
      </c>
      <c r="G301" s="28">
        <f>IF($D301="","",N(E301)*N(F301))</f>
        <v/>
      </c>
      <c r="H301" s="27" t="n"/>
      <c r="I301" s="27" t="n"/>
      <c r="J301" s="28">
        <f>IF($D301="","",N(G301)+N(H301)-N(I301))</f>
        <v/>
      </c>
      <c r="K301" s="27" t="n"/>
      <c r="L301" s="28">
        <f>IF($D301="","",N(J301)-N(K301))</f>
        <v/>
      </c>
    </row>
    <row r="302">
      <c r="A302" s="38" t="n"/>
      <c r="B302" s="12" t="n"/>
      <c r="C302" s="12" t="n"/>
      <c r="D302" s="12" t="n"/>
      <c r="E302" s="43" t="n"/>
      <c r="F302" s="28">
        <f>IF($D302="","",IFERROR(VLOOKUP($D302,'Products &amp; Pricing'!$A$14:$D$28,4,FALSE),""))</f>
        <v/>
      </c>
      <c r="G302" s="28">
        <f>IF($D302="","",N(E302)*N(F302))</f>
        <v/>
      </c>
      <c r="H302" s="27" t="n"/>
      <c r="I302" s="27" t="n"/>
      <c r="J302" s="28">
        <f>IF($D302="","",N(G302)+N(H302)-N(I302))</f>
        <v/>
      </c>
      <c r="K302" s="27" t="n"/>
      <c r="L302" s="28">
        <f>IF($D302="","",N(J302)-N(K302))</f>
        <v/>
      </c>
    </row>
    <row r="303">
      <c r="A303" s="38" t="n"/>
      <c r="B303" s="12" t="n"/>
      <c r="C303" s="12" t="n"/>
      <c r="D303" s="12" t="n"/>
      <c r="E303" s="43" t="n"/>
      <c r="F303" s="28">
        <f>IF($D303="","",IFERROR(VLOOKUP($D303,'Products &amp; Pricing'!$A$14:$D$28,4,FALSE),""))</f>
        <v/>
      </c>
      <c r="G303" s="28">
        <f>IF($D303="","",N(E303)*N(F303))</f>
        <v/>
      </c>
      <c r="H303" s="27" t="n"/>
      <c r="I303" s="27" t="n"/>
      <c r="J303" s="28">
        <f>IF($D303="","",N(G303)+N(H303)-N(I303))</f>
        <v/>
      </c>
      <c r="K303" s="27" t="n"/>
      <c r="L303" s="28">
        <f>IF($D303="","",N(J303)-N(K303))</f>
        <v/>
      </c>
    </row>
    <row r="304">
      <c r="A304" s="38" t="n"/>
      <c r="B304" s="12" t="n"/>
      <c r="C304" s="12" t="n"/>
      <c r="D304" s="12" t="n"/>
      <c r="E304" s="43" t="n"/>
      <c r="F304" s="28">
        <f>IF($D304="","",IFERROR(VLOOKUP($D304,'Products &amp; Pricing'!$A$14:$D$28,4,FALSE),""))</f>
        <v/>
      </c>
      <c r="G304" s="28">
        <f>IF($D304="","",N(E304)*N(F304))</f>
        <v/>
      </c>
      <c r="H304" s="27" t="n"/>
      <c r="I304" s="27" t="n"/>
      <c r="J304" s="28">
        <f>IF($D304="","",N(G304)+N(H304)-N(I304))</f>
        <v/>
      </c>
      <c r="K304" s="27" t="n"/>
      <c r="L304" s="28">
        <f>IF($D304="","",N(J304)-N(K304))</f>
        <v/>
      </c>
    </row>
    <row r="305">
      <c r="A305" s="38" t="n"/>
      <c r="B305" s="12" t="n"/>
      <c r="C305" s="12" t="n"/>
      <c r="D305" s="12" t="n"/>
      <c r="E305" s="43" t="n"/>
      <c r="F305" s="28">
        <f>IF($D305="","",IFERROR(VLOOKUP($D305,'Products &amp; Pricing'!$A$14:$D$28,4,FALSE),""))</f>
        <v/>
      </c>
      <c r="G305" s="28">
        <f>IF($D305="","",N(E305)*N(F305))</f>
        <v/>
      </c>
      <c r="H305" s="27" t="n"/>
      <c r="I305" s="27" t="n"/>
      <c r="J305" s="28">
        <f>IF($D305="","",N(G305)+N(H305)-N(I305))</f>
        <v/>
      </c>
      <c r="K305" s="27" t="n"/>
      <c r="L305" s="28">
        <f>IF($D305="","",N(J305)-N(K305))</f>
        <v/>
      </c>
    </row>
    <row r="306">
      <c r="A306" s="38" t="n"/>
      <c r="B306" s="12" t="n"/>
      <c r="C306" s="12" t="n"/>
      <c r="D306" s="12" t="n"/>
      <c r="E306" s="43" t="n"/>
      <c r="F306" s="28">
        <f>IF($D306="","",IFERROR(VLOOKUP($D306,'Products &amp; Pricing'!$A$14:$D$28,4,FALSE),""))</f>
        <v/>
      </c>
      <c r="G306" s="28">
        <f>IF($D306="","",N(E306)*N(F306))</f>
        <v/>
      </c>
      <c r="H306" s="27" t="n"/>
      <c r="I306" s="27" t="n"/>
      <c r="J306" s="28">
        <f>IF($D306="","",N(G306)+N(H306)-N(I306))</f>
        <v/>
      </c>
      <c r="K306" s="27" t="n"/>
      <c r="L306" s="28">
        <f>IF($D306="","",N(J306)-N(K306))</f>
        <v/>
      </c>
    </row>
    <row r="307">
      <c r="A307" s="38" t="n"/>
      <c r="B307" s="12" t="n"/>
      <c r="C307" s="12" t="n"/>
      <c r="D307" s="12" t="n"/>
      <c r="E307" s="43" t="n"/>
      <c r="F307" s="28">
        <f>IF($D307="","",IFERROR(VLOOKUP($D307,'Products &amp; Pricing'!$A$14:$D$28,4,FALSE),""))</f>
        <v/>
      </c>
      <c r="G307" s="28">
        <f>IF($D307="","",N(E307)*N(F307))</f>
        <v/>
      </c>
      <c r="H307" s="27" t="n"/>
      <c r="I307" s="27" t="n"/>
      <c r="J307" s="28">
        <f>IF($D307="","",N(G307)+N(H307)-N(I307))</f>
        <v/>
      </c>
      <c r="K307" s="27" t="n"/>
      <c r="L307" s="28">
        <f>IF($D307="","",N(J307)-N(K307))</f>
        <v/>
      </c>
    </row>
    <row r="308">
      <c r="A308" s="38" t="n"/>
      <c r="B308" s="12" t="n"/>
      <c r="C308" s="12" t="n"/>
      <c r="D308" s="12" t="n"/>
      <c r="E308" s="43" t="n"/>
      <c r="F308" s="28">
        <f>IF($D308="","",IFERROR(VLOOKUP($D308,'Products &amp; Pricing'!$A$14:$D$28,4,FALSE),""))</f>
        <v/>
      </c>
      <c r="G308" s="28">
        <f>IF($D308="","",N(E308)*N(F308))</f>
        <v/>
      </c>
      <c r="H308" s="27" t="n"/>
      <c r="I308" s="27" t="n"/>
      <c r="J308" s="28">
        <f>IF($D308="","",N(G308)+N(H308)-N(I308))</f>
        <v/>
      </c>
      <c r="K308" s="27" t="n"/>
      <c r="L308" s="28">
        <f>IF($D308="","",N(J308)-N(K308))</f>
        <v/>
      </c>
    </row>
    <row r="309">
      <c r="A309" s="38" t="n"/>
      <c r="B309" s="12" t="n"/>
      <c r="C309" s="12" t="n"/>
      <c r="D309" s="12" t="n"/>
      <c r="E309" s="43" t="n"/>
      <c r="F309" s="28">
        <f>IF($D309="","",IFERROR(VLOOKUP($D309,'Products &amp; Pricing'!$A$14:$D$28,4,FALSE),""))</f>
        <v/>
      </c>
      <c r="G309" s="28">
        <f>IF($D309="","",N(E309)*N(F309))</f>
        <v/>
      </c>
      <c r="H309" s="27" t="n"/>
      <c r="I309" s="27" t="n"/>
      <c r="J309" s="28">
        <f>IF($D309="","",N(G309)+N(H309)-N(I309))</f>
        <v/>
      </c>
      <c r="K309" s="27" t="n"/>
      <c r="L309" s="28">
        <f>IF($D309="","",N(J309)-N(K309))</f>
        <v/>
      </c>
    </row>
    <row r="310">
      <c r="A310" s="38" t="n"/>
      <c r="B310" s="12" t="n"/>
      <c r="C310" s="12" t="n"/>
      <c r="D310" s="12" t="n"/>
      <c r="E310" s="43" t="n"/>
      <c r="F310" s="28">
        <f>IF($D310="","",IFERROR(VLOOKUP($D310,'Products &amp; Pricing'!$A$14:$D$28,4,FALSE),""))</f>
        <v/>
      </c>
      <c r="G310" s="28">
        <f>IF($D310="","",N(E310)*N(F310))</f>
        <v/>
      </c>
      <c r="H310" s="27" t="n"/>
      <c r="I310" s="27" t="n"/>
      <c r="J310" s="28">
        <f>IF($D310="","",N(G310)+N(H310)-N(I310))</f>
        <v/>
      </c>
      <c r="K310" s="27" t="n"/>
      <c r="L310" s="28">
        <f>IF($D310="","",N(J310)-N(K310))</f>
        <v/>
      </c>
    </row>
    <row r="311">
      <c r="A311" s="38" t="n"/>
      <c r="B311" s="12" t="n"/>
      <c r="C311" s="12" t="n"/>
      <c r="D311" s="12" t="n"/>
      <c r="E311" s="43" t="n"/>
      <c r="F311" s="28">
        <f>IF($D311="","",IFERROR(VLOOKUP($D311,'Products &amp; Pricing'!$A$14:$D$28,4,FALSE),""))</f>
        <v/>
      </c>
      <c r="G311" s="28">
        <f>IF($D311="","",N(E311)*N(F311))</f>
        <v/>
      </c>
      <c r="H311" s="27" t="n"/>
      <c r="I311" s="27" t="n"/>
      <c r="J311" s="28">
        <f>IF($D311="","",N(G311)+N(H311)-N(I311))</f>
        <v/>
      </c>
      <c r="K311" s="27" t="n"/>
      <c r="L311" s="28">
        <f>IF($D311="","",N(J311)-N(K311))</f>
        <v/>
      </c>
    </row>
    <row r="312">
      <c r="A312" s="38" t="n"/>
      <c r="B312" s="12" t="n"/>
      <c r="C312" s="12" t="n"/>
      <c r="D312" s="12" t="n"/>
      <c r="E312" s="43" t="n"/>
      <c r="F312" s="28">
        <f>IF($D312="","",IFERROR(VLOOKUP($D312,'Products &amp; Pricing'!$A$14:$D$28,4,FALSE),""))</f>
        <v/>
      </c>
      <c r="G312" s="28">
        <f>IF($D312="","",N(E312)*N(F312))</f>
        <v/>
      </c>
      <c r="H312" s="27" t="n"/>
      <c r="I312" s="27" t="n"/>
      <c r="J312" s="28">
        <f>IF($D312="","",N(G312)+N(H312)-N(I312))</f>
        <v/>
      </c>
      <c r="K312" s="27" t="n"/>
      <c r="L312" s="28">
        <f>IF($D312="","",N(J312)-N(K312))</f>
        <v/>
      </c>
    </row>
    <row r="313">
      <c r="A313" s="38" t="n"/>
      <c r="B313" s="12" t="n"/>
      <c r="C313" s="12" t="n"/>
      <c r="D313" s="12" t="n"/>
      <c r="E313" s="43" t="n"/>
      <c r="F313" s="28">
        <f>IF($D313="","",IFERROR(VLOOKUP($D313,'Products &amp; Pricing'!$A$14:$D$28,4,FALSE),""))</f>
        <v/>
      </c>
      <c r="G313" s="28">
        <f>IF($D313="","",N(E313)*N(F313))</f>
        <v/>
      </c>
      <c r="H313" s="27" t="n"/>
      <c r="I313" s="27" t="n"/>
      <c r="J313" s="28">
        <f>IF($D313="","",N(G313)+N(H313)-N(I313))</f>
        <v/>
      </c>
      <c r="K313" s="27" t="n"/>
      <c r="L313" s="28">
        <f>IF($D313="","",N(J313)-N(K313))</f>
        <v/>
      </c>
    </row>
    <row r="314">
      <c r="A314" s="32" t="n"/>
      <c r="B314" s="32" t="n"/>
      <c r="C314" s="32" t="inlineStr">
        <is>
          <t>TOTALS</t>
        </is>
      </c>
      <c r="D314" s="32" t="n"/>
      <c r="E314" s="33">
        <f>SUM(E14:E313)</f>
        <v/>
      </c>
      <c r="F314" s="32" t="n"/>
      <c r="G314" s="34">
        <f>SUM(G14:G313)</f>
        <v/>
      </c>
      <c r="H314" s="34">
        <f>SUM(H14:H313)</f>
        <v/>
      </c>
      <c r="I314" s="34">
        <f>SUM(I14:I313)</f>
        <v/>
      </c>
      <c r="J314" s="34">
        <f>SUM(J14:J313)</f>
        <v/>
      </c>
      <c r="K314" s="34">
        <f>SUM(K14:K313)</f>
        <v/>
      </c>
      <c r="L314" s="34">
        <f>SUM(L14:L313)</f>
        <v/>
      </c>
    </row>
  </sheetData>
  <mergeCells count="2">
    <mergeCell ref="A2:L2"/>
    <mergeCell ref="A1:L1"/>
  </mergeCells>
  <conditionalFormatting sqref="A14:E313">
    <cfRule type="expression" priority="1" dxfId="2">
      <formula>MOD(ROW(),2)=0</formula>
    </cfRule>
  </conditionalFormatting>
  <dataValidations count="2">
    <dataValidation sqref="C14:C313" showDropDown="0" showInputMessage="0" showErrorMessage="1" allowBlank="1" type="list">
      <formula1>"Kickstarter,Website,In Person,Market / Event,Social Media,Wholesale,Other"</formula1>
    </dataValidation>
    <dataValidation sqref="D14:D313" showDropDown="0" showInputMessage="0" showErrorMessage="1" allowBlank="1" type="list">
      <formula1>'Products &amp; Pricing'!$A$14:$A$28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C6FB0"/>
    <outlinePr summaryBelow="1" summaryRight="1"/>
    <pageSetUpPr/>
  </sheetPr>
  <dimension ref="A1:P314"/>
  <sheetViews>
    <sheetView workbookViewId="0">
      <pane xSplit="2" ySplit="14" topLeftCell="C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22" customWidth="1" min="4" max="4"/>
    <col width="30" customWidth="1" min="5" max="5"/>
    <col width="6" customWidth="1" min="6" max="6"/>
    <col width="24" customWidth="1" min="7" max="7"/>
    <col width="14" customWidth="1" min="8" max="8"/>
    <col width="7" customWidth="1" min="9" max="9"/>
    <col width="9" customWidth="1" min="10" max="10"/>
    <col width="13" customWidth="1" min="11" max="11"/>
    <col width="12" customWidth="1" min="12" max="12"/>
    <col width="16" customWidth="1" min="13" max="13"/>
    <col width="14" customWidth="1" min="14" max="14"/>
    <col width="11" customWidth="1" min="15" max="15"/>
    <col width="24" customWidth="1" min="16" max="16"/>
  </cols>
  <sheetData>
    <row r="1" ht="26" customHeight="1">
      <c r="A1" s="1" t="inlineStr">
        <is>
          <t>Orders — Who Ordered What &amp; Has It Shipped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6" customHeight="1">
      <c r="A2" s="3" t="inlineStr">
        <is>
          <t>Your fulfillment command center: customer, items, shipping address, tracking, and order status.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 ht="14" customHeight="1">
      <c r="A4" s="15" t="inlineStr">
        <is>
          <t>WHAT THIS TAB IS FOR:  making sure nobody who paid you gets forgotten. One row per order (money details live on the Sales Log).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4" customHeight="1">
      <c r="A5" s="16" t="inlineStr">
        <is>
          <t>WHAT GOES HERE:  the same Order # you used on the Sales Log, the date it came in, customer name and contact,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</row>
    <row r="6" ht="14" customHeight="1">
      <c r="A6" s="16" t="inlineStr">
        <is>
          <t>what they ordered (dropdown — or type a list like '2x Drifters, 1x The Classics' for multi-item orders), quantity,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4" customHeight="1">
      <c r="A7" s="16" t="inlineStr">
        <is>
          <t>and the FULL shipping address (street / city / state / ZIP).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16" t="inlineStr">
        <is>
          <t>AS YOU WORK THE ORDER:  update Status —  New → In Production → Packed → Shipped → Delivered.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16" t="inlineStr">
        <is>
          <t>When it ships, enter Date Shipped and the Tracking #, and flip Fulfilled? to Yes (turns green; No stays red so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4" customHeight="1">
      <c r="A10" s="16" t="inlineStr">
        <is>
          <t>unshipped orders jump out at you). The counters below always show how many orders are still waiting on you.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4" customHeight="1">
      <c r="A11" s="16" t="inlineStr">
        <is>
          <t>KICKSTARTER BACKER REWARDS count as orders too — enter them here the day the campaign ends.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3">
      <c r="B13" s="6" t="inlineStr">
        <is>
          <t>Orders received:</t>
        </is>
      </c>
      <c r="C13" s="44">
        <f>COUNTA(A15:A314)</f>
        <v/>
      </c>
      <c r="D13" s="6" t="inlineStr">
        <is>
          <t>Fulfilled:</t>
        </is>
      </c>
      <c r="E13" s="13">
        <f>COUNTIF(O15:O314,"Yes")</f>
        <v/>
      </c>
      <c r="G13" s="6" t="inlineStr">
        <is>
          <t>Still open:</t>
        </is>
      </c>
      <c r="H13" s="14">
        <f>C13-E13</f>
        <v/>
      </c>
      <c r="J13" s="6" t="inlineStr">
        <is>
          <t>% fulfilled:</t>
        </is>
      </c>
      <c r="K13" s="42">
        <f>IF(C13=0,"",E13/C13)</f>
        <v/>
      </c>
    </row>
    <row r="14" ht="28" customHeight="1">
      <c r="A14" s="26" t="inlineStr">
        <is>
          <t>Order #</t>
        </is>
      </c>
      <c r="B14" s="26" t="inlineStr">
        <is>
          <t>Date Received</t>
        </is>
      </c>
      <c r="C14" s="26" t="inlineStr">
        <is>
          <t>Customer Name</t>
        </is>
      </c>
      <c r="D14" s="26" t="inlineStr">
        <is>
          <t>Email / Phone</t>
        </is>
      </c>
      <c r="E14" s="26" t="inlineStr">
        <is>
          <t>Product(s) Ordered</t>
        </is>
      </c>
      <c r="F14" s="26" t="inlineStr">
        <is>
          <t>Qty</t>
        </is>
      </c>
      <c r="G14" s="26" t="inlineStr">
        <is>
          <t>Street Address</t>
        </is>
      </c>
      <c r="H14" s="26" t="inlineStr">
        <is>
          <t>City</t>
        </is>
      </c>
      <c r="I14" s="26" t="inlineStr">
        <is>
          <t>State</t>
        </is>
      </c>
      <c r="J14" s="26" t="inlineStr">
        <is>
          <t>ZIP</t>
        </is>
      </c>
      <c r="K14" s="26" t="inlineStr">
        <is>
          <t>Ship Method</t>
        </is>
      </c>
      <c r="L14" s="26" t="inlineStr">
        <is>
          <t>Date Shipped</t>
        </is>
      </c>
      <c r="M14" s="26" t="inlineStr">
        <is>
          <t>Tracking #</t>
        </is>
      </c>
      <c r="N14" s="26" t="inlineStr">
        <is>
          <t>Status</t>
        </is>
      </c>
      <c r="O14" s="26" t="inlineStr">
        <is>
          <t>Fulfilled?</t>
        </is>
      </c>
      <c r="P14" s="26" t="inlineStr">
        <is>
          <t>Notes</t>
        </is>
      </c>
    </row>
    <row r="15">
      <c r="A15" s="12" t="n"/>
      <c r="B15" s="38" t="n"/>
      <c r="C15" s="12" t="n"/>
      <c r="D15" s="12" t="n"/>
      <c r="E15" s="12" t="n"/>
      <c r="F15" s="43" t="n"/>
      <c r="G15" s="12" t="n"/>
      <c r="H15" s="12" t="n"/>
      <c r="I15" s="12" t="n"/>
      <c r="J15" s="12" t="n"/>
      <c r="K15" s="12" t="n"/>
      <c r="L15" s="38" t="n"/>
      <c r="M15" s="12" t="n"/>
      <c r="N15" s="12" t="n"/>
      <c r="O15" s="12" t="n"/>
      <c r="P15" s="12" t="n"/>
    </row>
    <row r="16">
      <c r="A16" s="12" t="n"/>
      <c r="B16" s="38" t="n"/>
      <c r="C16" s="12" t="n"/>
      <c r="D16" s="12" t="n"/>
      <c r="E16" s="12" t="n"/>
      <c r="F16" s="43" t="n"/>
      <c r="G16" s="12" t="n"/>
      <c r="H16" s="12" t="n"/>
      <c r="I16" s="12" t="n"/>
      <c r="J16" s="12" t="n"/>
      <c r="K16" s="12" t="n"/>
      <c r="L16" s="38" t="n"/>
      <c r="M16" s="12" t="n"/>
      <c r="N16" s="12" t="n"/>
      <c r="O16" s="12" t="n"/>
      <c r="P16" s="12" t="n"/>
    </row>
    <row r="17">
      <c r="A17" s="12" t="n"/>
      <c r="B17" s="38" t="n"/>
      <c r="C17" s="12" t="n"/>
      <c r="D17" s="12" t="n"/>
      <c r="E17" s="12" t="n"/>
      <c r="F17" s="43" t="n"/>
      <c r="G17" s="12" t="n"/>
      <c r="H17" s="12" t="n"/>
      <c r="I17" s="12" t="n"/>
      <c r="J17" s="12" t="n"/>
      <c r="K17" s="12" t="n"/>
      <c r="L17" s="38" t="n"/>
      <c r="M17" s="12" t="n"/>
      <c r="N17" s="12" t="n"/>
      <c r="O17" s="12" t="n"/>
      <c r="P17" s="12" t="n"/>
    </row>
    <row r="18">
      <c r="A18" s="12" t="n"/>
      <c r="B18" s="38" t="n"/>
      <c r="C18" s="12" t="n"/>
      <c r="D18" s="12" t="n"/>
      <c r="E18" s="12" t="n"/>
      <c r="F18" s="43" t="n"/>
      <c r="G18" s="12" t="n"/>
      <c r="H18" s="12" t="n"/>
      <c r="I18" s="12" t="n"/>
      <c r="J18" s="12" t="n"/>
      <c r="K18" s="12" t="n"/>
      <c r="L18" s="38" t="n"/>
      <c r="M18" s="12" t="n"/>
      <c r="N18" s="12" t="n"/>
      <c r="O18" s="12" t="n"/>
      <c r="P18" s="12" t="n"/>
    </row>
    <row r="19">
      <c r="A19" s="12" t="n"/>
      <c r="B19" s="38" t="n"/>
      <c r="C19" s="12" t="n"/>
      <c r="D19" s="12" t="n"/>
      <c r="E19" s="12" t="n"/>
      <c r="F19" s="43" t="n"/>
      <c r="G19" s="12" t="n"/>
      <c r="H19" s="12" t="n"/>
      <c r="I19" s="12" t="n"/>
      <c r="J19" s="12" t="n"/>
      <c r="K19" s="12" t="n"/>
      <c r="L19" s="38" t="n"/>
      <c r="M19" s="12" t="n"/>
      <c r="N19" s="12" t="n"/>
      <c r="O19" s="12" t="n"/>
      <c r="P19" s="12" t="n"/>
    </row>
    <row r="20">
      <c r="A20" s="12" t="n"/>
      <c r="B20" s="38" t="n"/>
      <c r="C20" s="12" t="n"/>
      <c r="D20" s="12" t="n"/>
      <c r="E20" s="12" t="n"/>
      <c r="F20" s="43" t="n"/>
      <c r="G20" s="12" t="n"/>
      <c r="H20" s="12" t="n"/>
      <c r="I20" s="12" t="n"/>
      <c r="J20" s="12" t="n"/>
      <c r="K20" s="12" t="n"/>
      <c r="L20" s="38" t="n"/>
      <c r="M20" s="12" t="n"/>
      <c r="N20" s="12" t="n"/>
      <c r="O20" s="12" t="n"/>
      <c r="P20" s="12" t="n"/>
    </row>
    <row r="21">
      <c r="A21" s="12" t="n"/>
      <c r="B21" s="38" t="n"/>
      <c r="C21" s="12" t="n"/>
      <c r="D21" s="12" t="n"/>
      <c r="E21" s="12" t="n"/>
      <c r="F21" s="43" t="n"/>
      <c r="G21" s="12" t="n"/>
      <c r="H21" s="12" t="n"/>
      <c r="I21" s="12" t="n"/>
      <c r="J21" s="12" t="n"/>
      <c r="K21" s="12" t="n"/>
      <c r="L21" s="38" t="n"/>
      <c r="M21" s="12" t="n"/>
      <c r="N21" s="12" t="n"/>
      <c r="O21" s="12" t="n"/>
      <c r="P21" s="12" t="n"/>
    </row>
    <row r="22">
      <c r="A22" s="12" t="n"/>
      <c r="B22" s="38" t="n"/>
      <c r="C22" s="12" t="n"/>
      <c r="D22" s="12" t="n"/>
      <c r="E22" s="12" t="n"/>
      <c r="F22" s="43" t="n"/>
      <c r="G22" s="12" t="n"/>
      <c r="H22" s="12" t="n"/>
      <c r="I22" s="12" t="n"/>
      <c r="J22" s="12" t="n"/>
      <c r="K22" s="12" t="n"/>
      <c r="L22" s="38" t="n"/>
      <c r="M22" s="12" t="n"/>
      <c r="N22" s="12" t="n"/>
      <c r="O22" s="12" t="n"/>
      <c r="P22" s="12" t="n"/>
    </row>
    <row r="23">
      <c r="A23" s="12" t="n"/>
      <c r="B23" s="38" t="n"/>
      <c r="C23" s="12" t="n"/>
      <c r="D23" s="12" t="n"/>
      <c r="E23" s="12" t="n"/>
      <c r="F23" s="43" t="n"/>
      <c r="G23" s="12" t="n"/>
      <c r="H23" s="12" t="n"/>
      <c r="I23" s="12" t="n"/>
      <c r="J23" s="12" t="n"/>
      <c r="K23" s="12" t="n"/>
      <c r="L23" s="38" t="n"/>
      <c r="M23" s="12" t="n"/>
      <c r="N23" s="12" t="n"/>
      <c r="O23" s="12" t="n"/>
      <c r="P23" s="12" t="n"/>
    </row>
    <row r="24">
      <c r="A24" s="12" t="n"/>
      <c r="B24" s="38" t="n"/>
      <c r="C24" s="12" t="n"/>
      <c r="D24" s="12" t="n"/>
      <c r="E24" s="12" t="n"/>
      <c r="F24" s="43" t="n"/>
      <c r="G24" s="12" t="n"/>
      <c r="H24" s="12" t="n"/>
      <c r="I24" s="12" t="n"/>
      <c r="J24" s="12" t="n"/>
      <c r="K24" s="12" t="n"/>
      <c r="L24" s="38" t="n"/>
      <c r="M24" s="12" t="n"/>
      <c r="N24" s="12" t="n"/>
      <c r="O24" s="12" t="n"/>
      <c r="P24" s="12" t="n"/>
    </row>
    <row r="25">
      <c r="A25" s="12" t="n"/>
      <c r="B25" s="38" t="n"/>
      <c r="C25" s="12" t="n"/>
      <c r="D25" s="12" t="n"/>
      <c r="E25" s="12" t="n"/>
      <c r="F25" s="43" t="n"/>
      <c r="G25" s="12" t="n"/>
      <c r="H25" s="12" t="n"/>
      <c r="I25" s="12" t="n"/>
      <c r="J25" s="12" t="n"/>
      <c r="K25" s="12" t="n"/>
      <c r="L25" s="38" t="n"/>
      <c r="M25" s="12" t="n"/>
      <c r="N25" s="12" t="n"/>
      <c r="O25" s="12" t="n"/>
      <c r="P25" s="12" t="n"/>
    </row>
    <row r="26">
      <c r="A26" s="12" t="n"/>
      <c r="B26" s="38" t="n"/>
      <c r="C26" s="12" t="n"/>
      <c r="D26" s="12" t="n"/>
      <c r="E26" s="12" t="n"/>
      <c r="F26" s="43" t="n"/>
      <c r="G26" s="12" t="n"/>
      <c r="H26" s="12" t="n"/>
      <c r="I26" s="12" t="n"/>
      <c r="J26" s="12" t="n"/>
      <c r="K26" s="12" t="n"/>
      <c r="L26" s="38" t="n"/>
      <c r="M26" s="12" t="n"/>
      <c r="N26" s="12" t="n"/>
      <c r="O26" s="12" t="n"/>
      <c r="P26" s="12" t="n"/>
    </row>
    <row r="27">
      <c r="A27" s="12" t="n"/>
      <c r="B27" s="38" t="n"/>
      <c r="C27" s="12" t="n"/>
      <c r="D27" s="12" t="n"/>
      <c r="E27" s="12" t="n"/>
      <c r="F27" s="43" t="n"/>
      <c r="G27" s="12" t="n"/>
      <c r="H27" s="12" t="n"/>
      <c r="I27" s="12" t="n"/>
      <c r="J27" s="12" t="n"/>
      <c r="K27" s="12" t="n"/>
      <c r="L27" s="38" t="n"/>
      <c r="M27" s="12" t="n"/>
      <c r="N27" s="12" t="n"/>
      <c r="O27" s="12" t="n"/>
      <c r="P27" s="12" t="n"/>
    </row>
    <row r="28">
      <c r="A28" s="12" t="n"/>
      <c r="B28" s="38" t="n"/>
      <c r="C28" s="12" t="n"/>
      <c r="D28" s="12" t="n"/>
      <c r="E28" s="12" t="n"/>
      <c r="F28" s="43" t="n"/>
      <c r="G28" s="12" t="n"/>
      <c r="H28" s="12" t="n"/>
      <c r="I28" s="12" t="n"/>
      <c r="J28" s="12" t="n"/>
      <c r="K28" s="12" t="n"/>
      <c r="L28" s="38" t="n"/>
      <c r="M28" s="12" t="n"/>
      <c r="N28" s="12" t="n"/>
      <c r="O28" s="12" t="n"/>
      <c r="P28" s="12" t="n"/>
    </row>
    <row r="29">
      <c r="A29" s="12" t="n"/>
      <c r="B29" s="38" t="n"/>
      <c r="C29" s="12" t="n"/>
      <c r="D29" s="12" t="n"/>
      <c r="E29" s="12" t="n"/>
      <c r="F29" s="43" t="n"/>
      <c r="G29" s="12" t="n"/>
      <c r="H29" s="12" t="n"/>
      <c r="I29" s="12" t="n"/>
      <c r="J29" s="12" t="n"/>
      <c r="K29" s="12" t="n"/>
      <c r="L29" s="38" t="n"/>
      <c r="M29" s="12" t="n"/>
      <c r="N29" s="12" t="n"/>
      <c r="O29" s="12" t="n"/>
      <c r="P29" s="12" t="n"/>
    </row>
    <row r="30">
      <c r="A30" s="12" t="n"/>
      <c r="B30" s="38" t="n"/>
      <c r="C30" s="12" t="n"/>
      <c r="D30" s="12" t="n"/>
      <c r="E30" s="12" t="n"/>
      <c r="F30" s="43" t="n"/>
      <c r="G30" s="12" t="n"/>
      <c r="H30" s="12" t="n"/>
      <c r="I30" s="12" t="n"/>
      <c r="J30" s="12" t="n"/>
      <c r="K30" s="12" t="n"/>
      <c r="L30" s="38" t="n"/>
      <c r="M30" s="12" t="n"/>
      <c r="N30" s="12" t="n"/>
      <c r="O30" s="12" t="n"/>
      <c r="P30" s="12" t="n"/>
    </row>
    <row r="31">
      <c r="A31" s="12" t="n"/>
      <c r="B31" s="38" t="n"/>
      <c r="C31" s="12" t="n"/>
      <c r="D31" s="12" t="n"/>
      <c r="E31" s="12" t="n"/>
      <c r="F31" s="43" t="n"/>
      <c r="G31" s="12" t="n"/>
      <c r="H31" s="12" t="n"/>
      <c r="I31" s="12" t="n"/>
      <c r="J31" s="12" t="n"/>
      <c r="K31" s="12" t="n"/>
      <c r="L31" s="38" t="n"/>
      <c r="M31" s="12" t="n"/>
      <c r="N31" s="12" t="n"/>
      <c r="O31" s="12" t="n"/>
      <c r="P31" s="12" t="n"/>
    </row>
    <row r="32">
      <c r="A32" s="12" t="n"/>
      <c r="B32" s="38" t="n"/>
      <c r="C32" s="12" t="n"/>
      <c r="D32" s="12" t="n"/>
      <c r="E32" s="12" t="n"/>
      <c r="F32" s="43" t="n"/>
      <c r="G32" s="12" t="n"/>
      <c r="H32" s="12" t="n"/>
      <c r="I32" s="12" t="n"/>
      <c r="J32" s="12" t="n"/>
      <c r="K32" s="12" t="n"/>
      <c r="L32" s="38" t="n"/>
      <c r="M32" s="12" t="n"/>
      <c r="N32" s="12" t="n"/>
      <c r="O32" s="12" t="n"/>
      <c r="P32" s="12" t="n"/>
    </row>
    <row r="33">
      <c r="A33" s="12" t="n"/>
      <c r="B33" s="38" t="n"/>
      <c r="C33" s="12" t="n"/>
      <c r="D33" s="12" t="n"/>
      <c r="E33" s="12" t="n"/>
      <c r="F33" s="43" t="n"/>
      <c r="G33" s="12" t="n"/>
      <c r="H33" s="12" t="n"/>
      <c r="I33" s="12" t="n"/>
      <c r="J33" s="12" t="n"/>
      <c r="K33" s="12" t="n"/>
      <c r="L33" s="38" t="n"/>
      <c r="M33" s="12" t="n"/>
      <c r="N33" s="12" t="n"/>
      <c r="O33" s="12" t="n"/>
      <c r="P33" s="12" t="n"/>
    </row>
    <row r="34">
      <c r="A34" s="12" t="n"/>
      <c r="B34" s="38" t="n"/>
      <c r="C34" s="12" t="n"/>
      <c r="D34" s="12" t="n"/>
      <c r="E34" s="12" t="n"/>
      <c r="F34" s="43" t="n"/>
      <c r="G34" s="12" t="n"/>
      <c r="H34" s="12" t="n"/>
      <c r="I34" s="12" t="n"/>
      <c r="J34" s="12" t="n"/>
      <c r="K34" s="12" t="n"/>
      <c r="L34" s="38" t="n"/>
      <c r="M34" s="12" t="n"/>
      <c r="N34" s="12" t="n"/>
      <c r="O34" s="12" t="n"/>
      <c r="P34" s="12" t="n"/>
    </row>
    <row r="35">
      <c r="A35" s="12" t="n"/>
      <c r="B35" s="38" t="n"/>
      <c r="C35" s="12" t="n"/>
      <c r="D35" s="12" t="n"/>
      <c r="E35" s="12" t="n"/>
      <c r="F35" s="43" t="n"/>
      <c r="G35" s="12" t="n"/>
      <c r="H35" s="12" t="n"/>
      <c r="I35" s="12" t="n"/>
      <c r="J35" s="12" t="n"/>
      <c r="K35" s="12" t="n"/>
      <c r="L35" s="38" t="n"/>
      <c r="M35" s="12" t="n"/>
      <c r="N35" s="12" t="n"/>
      <c r="O35" s="12" t="n"/>
      <c r="P35" s="12" t="n"/>
    </row>
    <row r="36">
      <c r="A36" s="12" t="n"/>
      <c r="B36" s="38" t="n"/>
      <c r="C36" s="12" t="n"/>
      <c r="D36" s="12" t="n"/>
      <c r="E36" s="12" t="n"/>
      <c r="F36" s="43" t="n"/>
      <c r="G36" s="12" t="n"/>
      <c r="H36" s="12" t="n"/>
      <c r="I36" s="12" t="n"/>
      <c r="J36" s="12" t="n"/>
      <c r="K36" s="12" t="n"/>
      <c r="L36" s="38" t="n"/>
      <c r="M36" s="12" t="n"/>
      <c r="N36" s="12" t="n"/>
      <c r="O36" s="12" t="n"/>
      <c r="P36" s="12" t="n"/>
    </row>
    <row r="37">
      <c r="A37" s="12" t="n"/>
      <c r="B37" s="38" t="n"/>
      <c r="C37" s="12" t="n"/>
      <c r="D37" s="12" t="n"/>
      <c r="E37" s="12" t="n"/>
      <c r="F37" s="43" t="n"/>
      <c r="G37" s="12" t="n"/>
      <c r="H37" s="12" t="n"/>
      <c r="I37" s="12" t="n"/>
      <c r="J37" s="12" t="n"/>
      <c r="K37" s="12" t="n"/>
      <c r="L37" s="38" t="n"/>
      <c r="M37" s="12" t="n"/>
      <c r="N37" s="12" t="n"/>
      <c r="O37" s="12" t="n"/>
      <c r="P37" s="12" t="n"/>
    </row>
    <row r="38">
      <c r="A38" s="12" t="n"/>
      <c r="B38" s="38" t="n"/>
      <c r="C38" s="12" t="n"/>
      <c r="D38" s="12" t="n"/>
      <c r="E38" s="12" t="n"/>
      <c r="F38" s="43" t="n"/>
      <c r="G38" s="12" t="n"/>
      <c r="H38" s="12" t="n"/>
      <c r="I38" s="12" t="n"/>
      <c r="J38" s="12" t="n"/>
      <c r="K38" s="12" t="n"/>
      <c r="L38" s="38" t="n"/>
      <c r="M38" s="12" t="n"/>
      <c r="N38" s="12" t="n"/>
      <c r="O38" s="12" t="n"/>
      <c r="P38" s="12" t="n"/>
    </row>
    <row r="39">
      <c r="A39" s="12" t="n"/>
      <c r="B39" s="38" t="n"/>
      <c r="C39" s="12" t="n"/>
      <c r="D39" s="12" t="n"/>
      <c r="E39" s="12" t="n"/>
      <c r="F39" s="43" t="n"/>
      <c r="G39" s="12" t="n"/>
      <c r="H39" s="12" t="n"/>
      <c r="I39" s="12" t="n"/>
      <c r="J39" s="12" t="n"/>
      <c r="K39" s="12" t="n"/>
      <c r="L39" s="38" t="n"/>
      <c r="M39" s="12" t="n"/>
      <c r="N39" s="12" t="n"/>
      <c r="O39" s="12" t="n"/>
      <c r="P39" s="12" t="n"/>
    </row>
    <row r="40">
      <c r="A40" s="12" t="n"/>
      <c r="B40" s="38" t="n"/>
      <c r="C40" s="12" t="n"/>
      <c r="D40" s="12" t="n"/>
      <c r="E40" s="12" t="n"/>
      <c r="F40" s="43" t="n"/>
      <c r="G40" s="12" t="n"/>
      <c r="H40" s="12" t="n"/>
      <c r="I40" s="12" t="n"/>
      <c r="J40" s="12" t="n"/>
      <c r="K40" s="12" t="n"/>
      <c r="L40" s="38" t="n"/>
      <c r="M40" s="12" t="n"/>
      <c r="N40" s="12" t="n"/>
      <c r="O40" s="12" t="n"/>
      <c r="P40" s="12" t="n"/>
    </row>
    <row r="41">
      <c r="A41" s="12" t="n"/>
      <c r="B41" s="38" t="n"/>
      <c r="C41" s="12" t="n"/>
      <c r="D41" s="12" t="n"/>
      <c r="E41" s="12" t="n"/>
      <c r="F41" s="43" t="n"/>
      <c r="G41" s="12" t="n"/>
      <c r="H41" s="12" t="n"/>
      <c r="I41" s="12" t="n"/>
      <c r="J41" s="12" t="n"/>
      <c r="K41" s="12" t="n"/>
      <c r="L41" s="38" t="n"/>
      <c r="M41" s="12" t="n"/>
      <c r="N41" s="12" t="n"/>
      <c r="O41" s="12" t="n"/>
      <c r="P41" s="12" t="n"/>
    </row>
    <row r="42">
      <c r="A42" s="12" t="n"/>
      <c r="B42" s="38" t="n"/>
      <c r="C42" s="12" t="n"/>
      <c r="D42" s="12" t="n"/>
      <c r="E42" s="12" t="n"/>
      <c r="F42" s="43" t="n"/>
      <c r="G42" s="12" t="n"/>
      <c r="H42" s="12" t="n"/>
      <c r="I42" s="12" t="n"/>
      <c r="J42" s="12" t="n"/>
      <c r="K42" s="12" t="n"/>
      <c r="L42" s="38" t="n"/>
      <c r="M42" s="12" t="n"/>
      <c r="N42" s="12" t="n"/>
      <c r="O42" s="12" t="n"/>
      <c r="P42" s="12" t="n"/>
    </row>
    <row r="43">
      <c r="A43" s="12" t="n"/>
      <c r="B43" s="38" t="n"/>
      <c r="C43" s="12" t="n"/>
      <c r="D43" s="12" t="n"/>
      <c r="E43" s="12" t="n"/>
      <c r="F43" s="43" t="n"/>
      <c r="G43" s="12" t="n"/>
      <c r="H43" s="12" t="n"/>
      <c r="I43" s="12" t="n"/>
      <c r="J43" s="12" t="n"/>
      <c r="K43" s="12" t="n"/>
      <c r="L43" s="38" t="n"/>
      <c r="M43" s="12" t="n"/>
      <c r="N43" s="12" t="n"/>
      <c r="O43" s="12" t="n"/>
      <c r="P43" s="12" t="n"/>
    </row>
    <row r="44">
      <c r="A44" s="12" t="n"/>
      <c r="B44" s="38" t="n"/>
      <c r="C44" s="12" t="n"/>
      <c r="D44" s="12" t="n"/>
      <c r="E44" s="12" t="n"/>
      <c r="F44" s="43" t="n"/>
      <c r="G44" s="12" t="n"/>
      <c r="H44" s="12" t="n"/>
      <c r="I44" s="12" t="n"/>
      <c r="J44" s="12" t="n"/>
      <c r="K44" s="12" t="n"/>
      <c r="L44" s="38" t="n"/>
      <c r="M44" s="12" t="n"/>
      <c r="N44" s="12" t="n"/>
      <c r="O44" s="12" t="n"/>
      <c r="P44" s="12" t="n"/>
    </row>
    <row r="45">
      <c r="A45" s="12" t="n"/>
      <c r="B45" s="38" t="n"/>
      <c r="C45" s="12" t="n"/>
      <c r="D45" s="12" t="n"/>
      <c r="E45" s="12" t="n"/>
      <c r="F45" s="43" t="n"/>
      <c r="G45" s="12" t="n"/>
      <c r="H45" s="12" t="n"/>
      <c r="I45" s="12" t="n"/>
      <c r="J45" s="12" t="n"/>
      <c r="K45" s="12" t="n"/>
      <c r="L45" s="38" t="n"/>
      <c r="M45" s="12" t="n"/>
      <c r="N45" s="12" t="n"/>
      <c r="O45" s="12" t="n"/>
      <c r="P45" s="12" t="n"/>
    </row>
    <row r="46">
      <c r="A46" s="12" t="n"/>
      <c r="B46" s="38" t="n"/>
      <c r="C46" s="12" t="n"/>
      <c r="D46" s="12" t="n"/>
      <c r="E46" s="12" t="n"/>
      <c r="F46" s="43" t="n"/>
      <c r="G46" s="12" t="n"/>
      <c r="H46" s="12" t="n"/>
      <c r="I46" s="12" t="n"/>
      <c r="J46" s="12" t="n"/>
      <c r="K46" s="12" t="n"/>
      <c r="L46" s="38" t="n"/>
      <c r="M46" s="12" t="n"/>
      <c r="N46" s="12" t="n"/>
      <c r="O46" s="12" t="n"/>
      <c r="P46" s="12" t="n"/>
    </row>
    <row r="47">
      <c r="A47" s="12" t="n"/>
      <c r="B47" s="38" t="n"/>
      <c r="C47" s="12" t="n"/>
      <c r="D47" s="12" t="n"/>
      <c r="E47" s="12" t="n"/>
      <c r="F47" s="43" t="n"/>
      <c r="G47" s="12" t="n"/>
      <c r="H47" s="12" t="n"/>
      <c r="I47" s="12" t="n"/>
      <c r="J47" s="12" t="n"/>
      <c r="K47" s="12" t="n"/>
      <c r="L47" s="38" t="n"/>
      <c r="M47" s="12" t="n"/>
      <c r="N47" s="12" t="n"/>
      <c r="O47" s="12" t="n"/>
      <c r="P47" s="12" t="n"/>
    </row>
    <row r="48">
      <c r="A48" s="12" t="n"/>
      <c r="B48" s="38" t="n"/>
      <c r="C48" s="12" t="n"/>
      <c r="D48" s="12" t="n"/>
      <c r="E48" s="12" t="n"/>
      <c r="F48" s="43" t="n"/>
      <c r="G48" s="12" t="n"/>
      <c r="H48" s="12" t="n"/>
      <c r="I48" s="12" t="n"/>
      <c r="J48" s="12" t="n"/>
      <c r="K48" s="12" t="n"/>
      <c r="L48" s="38" t="n"/>
      <c r="M48" s="12" t="n"/>
      <c r="N48" s="12" t="n"/>
      <c r="O48" s="12" t="n"/>
      <c r="P48" s="12" t="n"/>
    </row>
    <row r="49">
      <c r="A49" s="12" t="n"/>
      <c r="B49" s="38" t="n"/>
      <c r="C49" s="12" t="n"/>
      <c r="D49" s="12" t="n"/>
      <c r="E49" s="12" t="n"/>
      <c r="F49" s="43" t="n"/>
      <c r="G49" s="12" t="n"/>
      <c r="H49" s="12" t="n"/>
      <c r="I49" s="12" t="n"/>
      <c r="J49" s="12" t="n"/>
      <c r="K49" s="12" t="n"/>
      <c r="L49" s="38" t="n"/>
      <c r="M49" s="12" t="n"/>
      <c r="N49" s="12" t="n"/>
      <c r="O49" s="12" t="n"/>
      <c r="P49" s="12" t="n"/>
    </row>
    <row r="50">
      <c r="A50" s="12" t="n"/>
      <c r="B50" s="38" t="n"/>
      <c r="C50" s="12" t="n"/>
      <c r="D50" s="12" t="n"/>
      <c r="E50" s="12" t="n"/>
      <c r="F50" s="43" t="n"/>
      <c r="G50" s="12" t="n"/>
      <c r="H50" s="12" t="n"/>
      <c r="I50" s="12" t="n"/>
      <c r="J50" s="12" t="n"/>
      <c r="K50" s="12" t="n"/>
      <c r="L50" s="38" t="n"/>
      <c r="M50" s="12" t="n"/>
      <c r="N50" s="12" t="n"/>
      <c r="O50" s="12" t="n"/>
      <c r="P50" s="12" t="n"/>
    </row>
    <row r="51">
      <c r="A51" s="12" t="n"/>
      <c r="B51" s="38" t="n"/>
      <c r="C51" s="12" t="n"/>
      <c r="D51" s="12" t="n"/>
      <c r="E51" s="12" t="n"/>
      <c r="F51" s="43" t="n"/>
      <c r="G51" s="12" t="n"/>
      <c r="H51" s="12" t="n"/>
      <c r="I51" s="12" t="n"/>
      <c r="J51" s="12" t="n"/>
      <c r="K51" s="12" t="n"/>
      <c r="L51" s="38" t="n"/>
      <c r="M51" s="12" t="n"/>
      <c r="N51" s="12" t="n"/>
      <c r="O51" s="12" t="n"/>
      <c r="P51" s="12" t="n"/>
    </row>
    <row r="52">
      <c r="A52" s="12" t="n"/>
      <c r="B52" s="38" t="n"/>
      <c r="C52" s="12" t="n"/>
      <c r="D52" s="12" t="n"/>
      <c r="E52" s="12" t="n"/>
      <c r="F52" s="43" t="n"/>
      <c r="G52" s="12" t="n"/>
      <c r="H52" s="12" t="n"/>
      <c r="I52" s="12" t="n"/>
      <c r="J52" s="12" t="n"/>
      <c r="K52" s="12" t="n"/>
      <c r="L52" s="38" t="n"/>
      <c r="M52" s="12" t="n"/>
      <c r="N52" s="12" t="n"/>
      <c r="O52" s="12" t="n"/>
      <c r="P52" s="12" t="n"/>
    </row>
    <row r="53">
      <c r="A53" s="12" t="n"/>
      <c r="B53" s="38" t="n"/>
      <c r="C53" s="12" t="n"/>
      <c r="D53" s="12" t="n"/>
      <c r="E53" s="12" t="n"/>
      <c r="F53" s="43" t="n"/>
      <c r="G53" s="12" t="n"/>
      <c r="H53" s="12" t="n"/>
      <c r="I53" s="12" t="n"/>
      <c r="J53" s="12" t="n"/>
      <c r="K53" s="12" t="n"/>
      <c r="L53" s="38" t="n"/>
      <c r="M53" s="12" t="n"/>
      <c r="N53" s="12" t="n"/>
      <c r="O53" s="12" t="n"/>
      <c r="P53" s="12" t="n"/>
    </row>
    <row r="54">
      <c r="A54" s="12" t="n"/>
      <c r="B54" s="38" t="n"/>
      <c r="C54" s="12" t="n"/>
      <c r="D54" s="12" t="n"/>
      <c r="E54" s="12" t="n"/>
      <c r="F54" s="43" t="n"/>
      <c r="G54" s="12" t="n"/>
      <c r="H54" s="12" t="n"/>
      <c r="I54" s="12" t="n"/>
      <c r="J54" s="12" t="n"/>
      <c r="K54" s="12" t="n"/>
      <c r="L54" s="38" t="n"/>
      <c r="M54" s="12" t="n"/>
      <c r="N54" s="12" t="n"/>
      <c r="O54" s="12" t="n"/>
      <c r="P54" s="12" t="n"/>
    </row>
    <row r="55">
      <c r="A55" s="12" t="n"/>
      <c r="B55" s="38" t="n"/>
      <c r="C55" s="12" t="n"/>
      <c r="D55" s="12" t="n"/>
      <c r="E55" s="12" t="n"/>
      <c r="F55" s="43" t="n"/>
      <c r="G55" s="12" t="n"/>
      <c r="H55" s="12" t="n"/>
      <c r="I55" s="12" t="n"/>
      <c r="J55" s="12" t="n"/>
      <c r="K55" s="12" t="n"/>
      <c r="L55" s="38" t="n"/>
      <c r="M55" s="12" t="n"/>
      <c r="N55" s="12" t="n"/>
      <c r="O55" s="12" t="n"/>
      <c r="P55" s="12" t="n"/>
    </row>
    <row r="56">
      <c r="A56" s="12" t="n"/>
      <c r="B56" s="38" t="n"/>
      <c r="C56" s="12" t="n"/>
      <c r="D56" s="12" t="n"/>
      <c r="E56" s="12" t="n"/>
      <c r="F56" s="43" t="n"/>
      <c r="G56" s="12" t="n"/>
      <c r="H56" s="12" t="n"/>
      <c r="I56" s="12" t="n"/>
      <c r="J56" s="12" t="n"/>
      <c r="K56" s="12" t="n"/>
      <c r="L56" s="38" t="n"/>
      <c r="M56" s="12" t="n"/>
      <c r="N56" s="12" t="n"/>
      <c r="O56" s="12" t="n"/>
      <c r="P56" s="12" t="n"/>
    </row>
    <row r="57">
      <c r="A57" s="12" t="n"/>
      <c r="B57" s="38" t="n"/>
      <c r="C57" s="12" t="n"/>
      <c r="D57" s="12" t="n"/>
      <c r="E57" s="12" t="n"/>
      <c r="F57" s="43" t="n"/>
      <c r="G57" s="12" t="n"/>
      <c r="H57" s="12" t="n"/>
      <c r="I57" s="12" t="n"/>
      <c r="J57" s="12" t="n"/>
      <c r="K57" s="12" t="n"/>
      <c r="L57" s="38" t="n"/>
      <c r="M57" s="12" t="n"/>
      <c r="N57" s="12" t="n"/>
      <c r="O57" s="12" t="n"/>
      <c r="P57" s="12" t="n"/>
    </row>
    <row r="58">
      <c r="A58" s="12" t="n"/>
      <c r="B58" s="38" t="n"/>
      <c r="C58" s="12" t="n"/>
      <c r="D58" s="12" t="n"/>
      <c r="E58" s="12" t="n"/>
      <c r="F58" s="43" t="n"/>
      <c r="G58" s="12" t="n"/>
      <c r="H58" s="12" t="n"/>
      <c r="I58" s="12" t="n"/>
      <c r="J58" s="12" t="n"/>
      <c r="K58" s="12" t="n"/>
      <c r="L58" s="38" t="n"/>
      <c r="M58" s="12" t="n"/>
      <c r="N58" s="12" t="n"/>
      <c r="O58" s="12" t="n"/>
      <c r="P58" s="12" t="n"/>
    </row>
    <row r="59">
      <c r="A59" s="12" t="n"/>
      <c r="B59" s="38" t="n"/>
      <c r="C59" s="12" t="n"/>
      <c r="D59" s="12" t="n"/>
      <c r="E59" s="12" t="n"/>
      <c r="F59" s="43" t="n"/>
      <c r="G59" s="12" t="n"/>
      <c r="H59" s="12" t="n"/>
      <c r="I59" s="12" t="n"/>
      <c r="J59" s="12" t="n"/>
      <c r="K59" s="12" t="n"/>
      <c r="L59" s="38" t="n"/>
      <c r="M59" s="12" t="n"/>
      <c r="N59" s="12" t="n"/>
      <c r="O59" s="12" t="n"/>
      <c r="P59" s="12" t="n"/>
    </row>
    <row r="60">
      <c r="A60" s="12" t="n"/>
      <c r="B60" s="38" t="n"/>
      <c r="C60" s="12" t="n"/>
      <c r="D60" s="12" t="n"/>
      <c r="E60" s="12" t="n"/>
      <c r="F60" s="43" t="n"/>
      <c r="G60" s="12" t="n"/>
      <c r="H60" s="12" t="n"/>
      <c r="I60" s="12" t="n"/>
      <c r="J60" s="12" t="n"/>
      <c r="K60" s="12" t="n"/>
      <c r="L60" s="38" t="n"/>
      <c r="M60" s="12" t="n"/>
      <c r="N60" s="12" t="n"/>
      <c r="O60" s="12" t="n"/>
      <c r="P60" s="12" t="n"/>
    </row>
    <row r="61">
      <c r="A61" s="12" t="n"/>
      <c r="B61" s="38" t="n"/>
      <c r="C61" s="12" t="n"/>
      <c r="D61" s="12" t="n"/>
      <c r="E61" s="12" t="n"/>
      <c r="F61" s="43" t="n"/>
      <c r="G61" s="12" t="n"/>
      <c r="H61" s="12" t="n"/>
      <c r="I61" s="12" t="n"/>
      <c r="J61" s="12" t="n"/>
      <c r="K61" s="12" t="n"/>
      <c r="L61" s="38" t="n"/>
      <c r="M61" s="12" t="n"/>
      <c r="N61" s="12" t="n"/>
      <c r="O61" s="12" t="n"/>
      <c r="P61" s="12" t="n"/>
    </row>
    <row r="62">
      <c r="A62" s="12" t="n"/>
      <c r="B62" s="38" t="n"/>
      <c r="C62" s="12" t="n"/>
      <c r="D62" s="12" t="n"/>
      <c r="E62" s="12" t="n"/>
      <c r="F62" s="43" t="n"/>
      <c r="G62" s="12" t="n"/>
      <c r="H62" s="12" t="n"/>
      <c r="I62" s="12" t="n"/>
      <c r="J62" s="12" t="n"/>
      <c r="K62" s="12" t="n"/>
      <c r="L62" s="38" t="n"/>
      <c r="M62" s="12" t="n"/>
      <c r="N62" s="12" t="n"/>
      <c r="O62" s="12" t="n"/>
      <c r="P62" s="12" t="n"/>
    </row>
    <row r="63">
      <c r="A63" s="12" t="n"/>
      <c r="B63" s="38" t="n"/>
      <c r="C63" s="12" t="n"/>
      <c r="D63" s="12" t="n"/>
      <c r="E63" s="12" t="n"/>
      <c r="F63" s="43" t="n"/>
      <c r="G63" s="12" t="n"/>
      <c r="H63" s="12" t="n"/>
      <c r="I63" s="12" t="n"/>
      <c r="J63" s="12" t="n"/>
      <c r="K63" s="12" t="n"/>
      <c r="L63" s="38" t="n"/>
      <c r="M63" s="12" t="n"/>
      <c r="N63" s="12" t="n"/>
      <c r="O63" s="12" t="n"/>
      <c r="P63" s="12" t="n"/>
    </row>
    <row r="64">
      <c r="A64" s="12" t="n"/>
      <c r="B64" s="38" t="n"/>
      <c r="C64" s="12" t="n"/>
      <c r="D64" s="12" t="n"/>
      <c r="E64" s="12" t="n"/>
      <c r="F64" s="43" t="n"/>
      <c r="G64" s="12" t="n"/>
      <c r="H64" s="12" t="n"/>
      <c r="I64" s="12" t="n"/>
      <c r="J64" s="12" t="n"/>
      <c r="K64" s="12" t="n"/>
      <c r="L64" s="38" t="n"/>
      <c r="M64" s="12" t="n"/>
      <c r="N64" s="12" t="n"/>
      <c r="O64" s="12" t="n"/>
      <c r="P64" s="12" t="n"/>
    </row>
    <row r="65">
      <c r="A65" s="12" t="n"/>
      <c r="B65" s="38" t="n"/>
      <c r="C65" s="12" t="n"/>
      <c r="D65" s="12" t="n"/>
      <c r="E65" s="12" t="n"/>
      <c r="F65" s="43" t="n"/>
      <c r="G65" s="12" t="n"/>
      <c r="H65" s="12" t="n"/>
      <c r="I65" s="12" t="n"/>
      <c r="J65" s="12" t="n"/>
      <c r="K65" s="12" t="n"/>
      <c r="L65" s="38" t="n"/>
      <c r="M65" s="12" t="n"/>
      <c r="N65" s="12" t="n"/>
      <c r="O65" s="12" t="n"/>
      <c r="P65" s="12" t="n"/>
    </row>
    <row r="66">
      <c r="A66" s="12" t="n"/>
      <c r="B66" s="38" t="n"/>
      <c r="C66" s="12" t="n"/>
      <c r="D66" s="12" t="n"/>
      <c r="E66" s="12" t="n"/>
      <c r="F66" s="43" t="n"/>
      <c r="G66" s="12" t="n"/>
      <c r="H66" s="12" t="n"/>
      <c r="I66" s="12" t="n"/>
      <c r="J66" s="12" t="n"/>
      <c r="K66" s="12" t="n"/>
      <c r="L66" s="38" t="n"/>
      <c r="M66" s="12" t="n"/>
      <c r="N66" s="12" t="n"/>
      <c r="O66" s="12" t="n"/>
      <c r="P66" s="12" t="n"/>
    </row>
    <row r="67">
      <c r="A67" s="12" t="n"/>
      <c r="B67" s="38" t="n"/>
      <c r="C67" s="12" t="n"/>
      <c r="D67" s="12" t="n"/>
      <c r="E67" s="12" t="n"/>
      <c r="F67" s="43" t="n"/>
      <c r="G67" s="12" t="n"/>
      <c r="H67" s="12" t="n"/>
      <c r="I67" s="12" t="n"/>
      <c r="J67" s="12" t="n"/>
      <c r="K67" s="12" t="n"/>
      <c r="L67" s="38" t="n"/>
      <c r="M67" s="12" t="n"/>
      <c r="N67" s="12" t="n"/>
      <c r="O67" s="12" t="n"/>
      <c r="P67" s="12" t="n"/>
    </row>
    <row r="68">
      <c r="A68" s="12" t="n"/>
      <c r="B68" s="38" t="n"/>
      <c r="C68" s="12" t="n"/>
      <c r="D68" s="12" t="n"/>
      <c r="E68" s="12" t="n"/>
      <c r="F68" s="43" t="n"/>
      <c r="G68" s="12" t="n"/>
      <c r="H68" s="12" t="n"/>
      <c r="I68" s="12" t="n"/>
      <c r="J68" s="12" t="n"/>
      <c r="K68" s="12" t="n"/>
      <c r="L68" s="38" t="n"/>
      <c r="M68" s="12" t="n"/>
      <c r="N68" s="12" t="n"/>
      <c r="O68" s="12" t="n"/>
      <c r="P68" s="12" t="n"/>
    </row>
    <row r="69">
      <c r="A69" s="12" t="n"/>
      <c r="B69" s="38" t="n"/>
      <c r="C69" s="12" t="n"/>
      <c r="D69" s="12" t="n"/>
      <c r="E69" s="12" t="n"/>
      <c r="F69" s="43" t="n"/>
      <c r="G69" s="12" t="n"/>
      <c r="H69" s="12" t="n"/>
      <c r="I69" s="12" t="n"/>
      <c r="J69" s="12" t="n"/>
      <c r="K69" s="12" t="n"/>
      <c r="L69" s="38" t="n"/>
      <c r="M69" s="12" t="n"/>
      <c r="N69" s="12" t="n"/>
      <c r="O69" s="12" t="n"/>
      <c r="P69" s="12" t="n"/>
    </row>
    <row r="70">
      <c r="A70" s="12" t="n"/>
      <c r="B70" s="38" t="n"/>
      <c r="C70" s="12" t="n"/>
      <c r="D70" s="12" t="n"/>
      <c r="E70" s="12" t="n"/>
      <c r="F70" s="43" t="n"/>
      <c r="G70" s="12" t="n"/>
      <c r="H70" s="12" t="n"/>
      <c r="I70" s="12" t="n"/>
      <c r="J70" s="12" t="n"/>
      <c r="K70" s="12" t="n"/>
      <c r="L70" s="38" t="n"/>
      <c r="M70" s="12" t="n"/>
      <c r="N70" s="12" t="n"/>
      <c r="O70" s="12" t="n"/>
      <c r="P70" s="12" t="n"/>
    </row>
    <row r="71">
      <c r="A71" s="12" t="n"/>
      <c r="B71" s="38" t="n"/>
      <c r="C71" s="12" t="n"/>
      <c r="D71" s="12" t="n"/>
      <c r="E71" s="12" t="n"/>
      <c r="F71" s="43" t="n"/>
      <c r="G71" s="12" t="n"/>
      <c r="H71" s="12" t="n"/>
      <c r="I71" s="12" t="n"/>
      <c r="J71" s="12" t="n"/>
      <c r="K71" s="12" t="n"/>
      <c r="L71" s="38" t="n"/>
      <c r="M71" s="12" t="n"/>
      <c r="N71" s="12" t="n"/>
      <c r="O71" s="12" t="n"/>
      <c r="P71" s="12" t="n"/>
    </row>
    <row r="72">
      <c r="A72" s="12" t="n"/>
      <c r="B72" s="38" t="n"/>
      <c r="C72" s="12" t="n"/>
      <c r="D72" s="12" t="n"/>
      <c r="E72" s="12" t="n"/>
      <c r="F72" s="43" t="n"/>
      <c r="G72" s="12" t="n"/>
      <c r="H72" s="12" t="n"/>
      <c r="I72" s="12" t="n"/>
      <c r="J72" s="12" t="n"/>
      <c r="K72" s="12" t="n"/>
      <c r="L72" s="38" t="n"/>
      <c r="M72" s="12" t="n"/>
      <c r="N72" s="12" t="n"/>
      <c r="O72" s="12" t="n"/>
      <c r="P72" s="12" t="n"/>
    </row>
    <row r="73">
      <c r="A73" s="12" t="n"/>
      <c r="B73" s="38" t="n"/>
      <c r="C73" s="12" t="n"/>
      <c r="D73" s="12" t="n"/>
      <c r="E73" s="12" t="n"/>
      <c r="F73" s="43" t="n"/>
      <c r="G73" s="12" t="n"/>
      <c r="H73" s="12" t="n"/>
      <c r="I73" s="12" t="n"/>
      <c r="J73" s="12" t="n"/>
      <c r="K73" s="12" t="n"/>
      <c r="L73" s="38" t="n"/>
      <c r="M73" s="12" t="n"/>
      <c r="N73" s="12" t="n"/>
      <c r="O73" s="12" t="n"/>
      <c r="P73" s="12" t="n"/>
    </row>
    <row r="74">
      <c r="A74" s="12" t="n"/>
      <c r="B74" s="38" t="n"/>
      <c r="C74" s="12" t="n"/>
      <c r="D74" s="12" t="n"/>
      <c r="E74" s="12" t="n"/>
      <c r="F74" s="43" t="n"/>
      <c r="G74" s="12" t="n"/>
      <c r="H74" s="12" t="n"/>
      <c r="I74" s="12" t="n"/>
      <c r="J74" s="12" t="n"/>
      <c r="K74" s="12" t="n"/>
      <c r="L74" s="38" t="n"/>
      <c r="M74" s="12" t="n"/>
      <c r="N74" s="12" t="n"/>
      <c r="O74" s="12" t="n"/>
      <c r="P74" s="12" t="n"/>
    </row>
    <row r="75">
      <c r="A75" s="12" t="n"/>
      <c r="B75" s="38" t="n"/>
      <c r="C75" s="12" t="n"/>
      <c r="D75" s="12" t="n"/>
      <c r="E75" s="12" t="n"/>
      <c r="F75" s="43" t="n"/>
      <c r="G75" s="12" t="n"/>
      <c r="H75" s="12" t="n"/>
      <c r="I75" s="12" t="n"/>
      <c r="J75" s="12" t="n"/>
      <c r="K75" s="12" t="n"/>
      <c r="L75" s="38" t="n"/>
      <c r="M75" s="12" t="n"/>
      <c r="N75" s="12" t="n"/>
      <c r="O75" s="12" t="n"/>
      <c r="P75" s="12" t="n"/>
    </row>
    <row r="76">
      <c r="A76" s="12" t="n"/>
      <c r="B76" s="38" t="n"/>
      <c r="C76" s="12" t="n"/>
      <c r="D76" s="12" t="n"/>
      <c r="E76" s="12" t="n"/>
      <c r="F76" s="43" t="n"/>
      <c r="G76" s="12" t="n"/>
      <c r="H76" s="12" t="n"/>
      <c r="I76" s="12" t="n"/>
      <c r="J76" s="12" t="n"/>
      <c r="K76" s="12" t="n"/>
      <c r="L76" s="38" t="n"/>
      <c r="M76" s="12" t="n"/>
      <c r="N76" s="12" t="n"/>
      <c r="O76" s="12" t="n"/>
      <c r="P76" s="12" t="n"/>
    </row>
    <row r="77">
      <c r="A77" s="12" t="n"/>
      <c r="B77" s="38" t="n"/>
      <c r="C77" s="12" t="n"/>
      <c r="D77" s="12" t="n"/>
      <c r="E77" s="12" t="n"/>
      <c r="F77" s="43" t="n"/>
      <c r="G77" s="12" t="n"/>
      <c r="H77" s="12" t="n"/>
      <c r="I77" s="12" t="n"/>
      <c r="J77" s="12" t="n"/>
      <c r="K77" s="12" t="n"/>
      <c r="L77" s="38" t="n"/>
      <c r="M77" s="12" t="n"/>
      <c r="N77" s="12" t="n"/>
      <c r="O77" s="12" t="n"/>
      <c r="P77" s="12" t="n"/>
    </row>
    <row r="78">
      <c r="A78" s="12" t="n"/>
      <c r="B78" s="38" t="n"/>
      <c r="C78" s="12" t="n"/>
      <c r="D78" s="12" t="n"/>
      <c r="E78" s="12" t="n"/>
      <c r="F78" s="43" t="n"/>
      <c r="G78" s="12" t="n"/>
      <c r="H78" s="12" t="n"/>
      <c r="I78" s="12" t="n"/>
      <c r="J78" s="12" t="n"/>
      <c r="K78" s="12" t="n"/>
      <c r="L78" s="38" t="n"/>
      <c r="M78" s="12" t="n"/>
      <c r="N78" s="12" t="n"/>
      <c r="O78" s="12" t="n"/>
      <c r="P78" s="12" t="n"/>
    </row>
    <row r="79">
      <c r="A79" s="12" t="n"/>
      <c r="B79" s="38" t="n"/>
      <c r="C79" s="12" t="n"/>
      <c r="D79" s="12" t="n"/>
      <c r="E79" s="12" t="n"/>
      <c r="F79" s="43" t="n"/>
      <c r="G79" s="12" t="n"/>
      <c r="H79" s="12" t="n"/>
      <c r="I79" s="12" t="n"/>
      <c r="J79" s="12" t="n"/>
      <c r="K79" s="12" t="n"/>
      <c r="L79" s="38" t="n"/>
      <c r="M79" s="12" t="n"/>
      <c r="N79" s="12" t="n"/>
      <c r="O79" s="12" t="n"/>
      <c r="P79" s="12" t="n"/>
    </row>
    <row r="80">
      <c r="A80" s="12" t="n"/>
      <c r="B80" s="38" t="n"/>
      <c r="C80" s="12" t="n"/>
      <c r="D80" s="12" t="n"/>
      <c r="E80" s="12" t="n"/>
      <c r="F80" s="43" t="n"/>
      <c r="G80" s="12" t="n"/>
      <c r="H80" s="12" t="n"/>
      <c r="I80" s="12" t="n"/>
      <c r="J80" s="12" t="n"/>
      <c r="K80" s="12" t="n"/>
      <c r="L80" s="38" t="n"/>
      <c r="M80" s="12" t="n"/>
      <c r="N80" s="12" t="n"/>
      <c r="O80" s="12" t="n"/>
      <c r="P80" s="12" t="n"/>
    </row>
    <row r="81">
      <c r="A81" s="12" t="n"/>
      <c r="B81" s="38" t="n"/>
      <c r="C81" s="12" t="n"/>
      <c r="D81" s="12" t="n"/>
      <c r="E81" s="12" t="n"/>
      <c r="F81" s="43" t="n"/>
      <c r="G81" s="12" t="n"/>
      <c r="H81" s="12" t="n"/>
      <c r="I81" s="12" t="n"/>
      <c r="J81" s="12" t="n"/>
      <c r="K81" s="12" t="n"/>
      <c r="L81" s="38" t="n"/>
      <c r="M81" s="12" t="n"/>
      <c r="N81" s="12" t="n"/>
      <c r="O81" s="12" t="n"/>
      <c r="P81" s="12" t="n"/>
    </row>
    <row r="82">
      <c r="A82" s="12" t="n"/>
      <c r="B82" s="38" t="n"/>
      <c r="C82" s="12" t="n"/>
      <c r="D82" s="12" t="n"/>
      <c r="E82" s="12" t="n"/>
      <c r="F82" s="43" t="n"/>
      <c r="G82" s="12" t="n"/>
      <c r="H82" s="12" t="n"/>
      <c r="I82" s="12" t="n"/>
      <c r="J82" s="12" t="n"/>
      <c r="K82" s="12" t="n"/>
      <c r="L82" s="38" t="n"/>
      <c r="M82" s="12" t="n"/>
      <c r="N82" s="12" t="n"/>
      <c r="O82" s="12" t="n"/>
      <c r="P82" s="12" t="n"/>
    </row>
    <row r="83">
      <c r="A83" s="12" t="n"/>
      <c r="B83" s="38" t="n"/>
      <c r="C83" s="12" t="n"/>
      <c r="D83" s="12" t="n"/>
      <c r="E83" s="12" t="n"/>
      <c r="F83" s="43" t="n"/>
      <c r="G83" s="12" t="n"/>
      <c r="H83" s="12" t="n"/>
      <c r="I83" s="12" t="n"/>
      <c r="J83" s="12" t="n"/>
      <c r="K83" s="12" t="n"/>
      <c r="L83" s="38" t="n"/>
      <c r="M83" s="12" t="n"/>
      <c r="N83" s="12" t="n"/>
      <c r="O83" s="12" t="n"/>
      <c r="P83" s="12" t="n"/>
    </row>
    <row r="84">
      <c r="A84" s="12" t="n"/>
      <c r="B84" s="38" t="n"/>
      <c r="C84" s="12" t="n"/>
      <c r="D84" s="12" t="n"/>
      <c r="E84" s="12" t="n"/>
      <c r="F84" s="43" t="n"/>
      <c r="G84" s="12" t="n"/>
      <c r="H84" s="12" t="n"/>
      <c r="I84" s="12" t="n"/>
      <c r="J84" s="12" t="n"/>
      <c r="K84" s="12" t="n"/>
      <c r="L84" s="38" t="n"/>
      <c r="M84" s="12" t="n"/>
      <c r="N84" s="12" t="n"/>
      <c r="O84" s="12" t="n"/>
      <c r="P84" s="12" t="n"/>
    </row>
    <row r="85">
      <c r="A85" s="12" t="n"/>
      <c r="B85" s="38" t="n"/>
      <c r="C85" s="12" t="n"/>
      <c r="D85" s="12" t="n"/>
      <c r="E85" s="12" t="n"/>
      <c r="F85" s="43" t="n"/>
      <c r="G85" s="12" t="n"/>
      <c r="H85" s="12" t="n"/>
      <c r="I85" s="12" t="n"/>
      <c r="J85" s="12" t="n"/>
      <c r="K85" s="12" t="n"/>
      <c r="L85" s="38" t="n"/>
      <c r="M85" s="12" t="n"/>
      <c r="N85" s="12" t="n"/>
      <c r="O85" s="12" t="n"/>
      <c r="P85" s="12" t="n"/>
    </row>
    <row r="86">
      <c r="A86" s="12" t="n"/>
      <c r="B86" s="38" t="n"/>
      <c r="C86" s="12" t="n"/>
      <c r="D86" s="12" t="n"/>
      <c r="E86" s="12" t="n"/>
      <c r="F86" s="43" t="n"/>
      <c r="G86" s="12" t="n"/>
      <c r="H86" s="12" t="n"/>
      <c r="I86" s="12" t="n"/>
      <c r="J86" s="12" t="n"/>
      <c r="K86" s="12" t="n"/>
      <c r="L86" s="38" t="n"/>
      <c r="M86" s="12" t="n"/>
      <c r="N86" s="12" t="n"/>
      <c r="O86" s="12" t="n"/>
      <c r="P86" s="12" t="n"/>
    </row>
    <row r="87">
      <c r="A87" s="12" t="n"/>
      <c r="B87" s="38" t="n"/>
      <c r="C87" s="12" t="n"/>
      <c r="D87" s="12" t="n"/>
      <c r="E87" s="12" t="n"/>
      <c r="F87" s="43" t="n"/>
      <c r="G87" s="12" t="n"/>
      <c r="H87" s="12" t="n"/>
      <c r="I87" s="12" t="n"/>
      <c r="J87" s="12" t="n"/>
      <c r="K87" s="12" t="n"/>
      <c r="L87" s="38" t="n"/>
      <c r="M87" s="12" t="n"/>
      <c r="N87" s="12" t="n"/>
      <c r="O87" s="12" t="n"/>
      <c r="P87" s="12" t="n"/>
    </row>
    <row r="88">
      <c r="A88" s="12" t="n"/>
      <c r="B88" s="38" t="n"/>
      <c r="C88" s="12" t="n"/>
      <c r="D88" s="12" t="n"/>
      <c r="E88" s="12" t="n"/>
      <c r="F88" s="43" t="n"/>
      <c r="G88" s="12" t="n"/>
      <c r="H88" s="12" t="n"/>
      <c r="I88" s="12" t="n"/>
      <c r="J88" s="12" t="n"/>
      <c r="K88" s="12" t="n"/>
      <c r="L88" s="38" t="n"/>
      <c r="M88" s="12" t="n"/>
      <c r="N88" s="12" t="n"/>
      <c r="O88" s="12" t="n"/>
      <c r="P88" s="12" t="n"/>
    </row>
    <row r="89">
      <c r="A89" s="12" t="n"/>
      <c r="B89" s="38" t="n"/>
      <c r="C89" s="12" t="n"/>
      <c r="D89" s="12" t="n"/>
      <c r="E89" s="12" t="n"/>
      <c r="F89" s="43" t="n"/>
      <c r="G89" s="12" t="n"/>
      <c r="H89" s="12" t="n"/>
      <c r="I89" s="12" t="n"/>
      <c r="J89" s="12" t="n"/>
      <c r="K89" s="12" t="n"/>
      <c r="L89" s="38" t="n"/>
      <c r="M89" s="12" t="n"/>
      <c r="N89" s="12" t="n"/>
      <c r="O89" s="12" t="n"/>
      <c r="P89" s="12" t="n"/>
    </row>
    <row r="90">
      <c r="A90" s="12" t="n"/>
      <c r="B90" s="38" t="n"/>
      <c r="C90" s="12" t="n"/>
      <c r="D90" s="12" t="n"/>
      <c r="E90" s="12" t="n"/>
      <c r="F90" s="43" t="n"/>
      <c r="G90" s="12" t="n"/>
      <c r="H90" s="12" t="n"/>
      <c r="I90" s="12" t="n"/>
      <c r="J90" s="12" t="n"/>
      <c r="K90" s="12" t="n"/>
      <c r="L90" s="38" t="n"/>
      <c r="M90" s="12" t="n"/>
      <c r="N90" s="12" t="n"/>
      <c r="O90" s="12" t="n"/>
      <c r="P90" s="12" t="n"/>
    </row>
    <row r="91">
      <c r="A91" s="12" t="n"/>
      <c r="B91" s="38" t="n"/>
      <c r="C91" s="12" t="n"/>
      <c r="D91" s="12" t="n"/>
      <c r="E91" s="12" t="n"/>
      <c r="F91" s="43" t="n"/>
      <c r="G91" s="12" t="n"/>
      <c r="H91" s="12" t="n"/>
      <c r="I91" s="12" t="n"/>
      <c r="J91" s="12" t="n"/>
      <c r="K91" s="12" t="n"/>
      <c r="L91" s="38" t="n"/>
      <c r="M91" s="12" t="n"/>
      <c r="N91" s="12" t="n"/>
      <c r="O91" s="12" t="n"/>
      <c r="P91" s="12" t="n"/>
    </row>
    <row r="92">
      <c r="A92" s="12" t="n"/>
      <c r="B92" s="38" t="n"/>
      <c r="C92" s="12" t="n"/>
      <c r="D92" s="12" t="n"/>
      <c r="E92" s="12" t="n"/>
      <c r="F92" s="43" t="n"/>
      <c r="G92" s="12" t="n"/>
      <c r="H92" s="12" t="n"/>
      <c r="I92" s="12" t="n"/>
      <c r="J92" s="12" t="n"/>
      <c r="K92" s="12" t="n"/>
      <c r="L92" s="38" t="n"/>
      <c r="M92" s="12" t="n"/>
      <c r="N92" s="12" t="n"/>
      <c r="O92" s="12" t="n"/>
      <c r="P92" s="12" t="n"/>
    </row>
    <row r="93">
      <c r="A93" s="12" t="n"/>
      <c r="B93" s="38" t="n"/>
      <c r="C93" s="12" t="n"/>
      <c r="D93" s="12" t="n"/>
      <c r="E93" s="12" t="n"/>
      <c r="F93" s="43" t="n"/>
      <c r="G93" s="12" t="n"/>
      <c r="H93" s="12" t="n"/>
      <c r="I93" s="12" t="n"/>
      <c r="J93" s="12" t="n"/>
      <c r="K93" s="12" t="n"/>
      <c r="L93" s="38" t="n"/>
      <c r="M93" s="12" t="n"/>
      <c r="N93" s="12" t="n"/>
      <c r="O93" s="12" t="n"/>
      <c r="P93" s="12" t="n"/>
    </row>
    <row r="94">
      <c r="A94" s="12" t="n"/>
      <c r="B94" s="38" t="n"/>
      <c r="C94" s="12" t="n"/>
      <c r="D94" s="12" t="n"/>
      <c r="E94" s="12" t="n"/>
      <c r="F94" s="43" t="n"/>
      <c r="G94" s="12" t="n"/>
      <c r="H94" s="12" t="n"/>
      <c r="I94" s="12" t="n"/>
      <c r="J94" s="12" t="n"/>
      <c r="K94" s="12" t="n"/>
      <c r="L94" s="38" t="n"/>
      <c r="M94" s="12" t="n"/>
      <c r="N94" s="12" t="n"/>
      <c r="O94" s="12" t="n"/>
      <c r="P94" s="12" t="n"/>
    </row>
    <row r="95">
      <c r="A95" s="12" t="n"/>
      <c r="B95" s="38" t="n"/>
      <c r="C95" s="12" t="n"/>
      <c r="D95" s="12" t="n"/>
      <c r="E95" s="12" t="n"/>
      <c r="F95" s="43" t="n"/>
      <c r="G95" s="12" t="n"/>
      <c r="H95" s="12" t="n"/>
      <c r="I95" s="12" t="n"/>
      <c r="J95" s="12" t="n"/>
      <c r="K95" s="12" t="n"/>
      <c r="L95" s="38" t="n"/>
      <c r="M95" s="12" t="n"/>
      <c r="N95" s="12" t="n"/>
      <c r="O95" s="12" t="n"/>
      <c r="P95" s="12" t="n"/>
    </row>
    <row r="96">
      <c r="A96" s="12" t="n"/>
      <c r="B96" s="38" t="n"/>
      <c r="C96" s="12" t="n"/>
      <c r="D96" s="12" t="n"/>
      <c r="E96" s="12" t="n"/>
      <c r="F96" s="43" t="n"/>
      <c r="G96" s="12" t="n"/>
      <c r="H96" s="12" t="n"/>
      <c r="I96" s="12" t="n"/>
      <c r="J96" s="12" t="n"/>
      <c r="K96" s="12" t="n"/>
      <c r="L96" s="38" t="n"/>
      <c r="M96" s="12" t="n"/>
      <c r="N96" s="12" t="n"/>
      <c r="O96" s="12" t="n"/>
      <c r="P96" s="12" t="n"/>
    </row>
    <row r="97">
      <c r="A97" s="12" t="n"/>
      <c r="B97" s="38" t="n"/>
      <c r="C97" s="12" t="n"/>
      <c r="D97" s="12" t="n"/>
      <c r="E97" s="12" t="n"/>
      <c r="F97" s="43" t="n"/>
      <c r="G97" s="12" t="n"/>
      <c r="H97" s="12" t="n"/>
      <c r="I97" s="12" t="n"/>
      <c r="J97" s="12" t="n"/>
      <c r="K97" s="12" t="n"/>
      <c r="L97" s="38" t="n"/>
      <c r="M97" s="12" t="n"/>
      <c r="N97" s="12" t="n"/>
      <c r="O97" s="12" t="n"/>
      <c r="P97" s="12" t="n"/>
    </row>
    <row r="98">
      <c r="A98" s="12" t="n"/>
      <c r="B98" s="38" t="n"/>
      <c r="C98" s="12" t="n"/>
      <c r="D98" s="12" t="n"/>
      <c r="E98" s="12" t="n"/>
      <c r="F98" s="43" t="n"/>
      <c r="G98" s="12" t="n"/>
      <c r="H98" s="12" t="n"/>
      <c r="I98" s="12" t="n"/>
      <c r="J98" s="12" t="n"/>
      <c r="K98" s="12" t="n"/>
      <c r="L98" s="38" t="n"/>
      <c r="M98" s="12" t="n"/>
      <c r="N98" s="12" t="n"/>
      <c r="O98" s="12" t="n"/>
      <c r="P98" s="12" t="n"/>
    </row>
    <row r="99">
      <c r="A99" s="12" t="n"/>
      <c r="B99" s="38" t="n"/>
      <c r="C99" s="12" t="n"/>
      <c r="D99" s="12" t="n"/>
      <c r="E99" s="12" t="n"/>
      <c r="F99" s="43" t="n"/>
      <c r="G99" s="12" t="n"/>
      <c r="H99" s="12" t="n"/>
      <c r="I99" s="12" t="n"/>
      <c r="J99" s="12" t="n"/>
      <c r="K99" s="12" t="n"/>
      <c r="L99" s="38" t="n"/>
      <c r="M99" s="12" t="n"/>
      <c r="N99" s="12" t="n"/>
      <c r="O99" s="12" t="n"/>
      <c r="P99" s="12" t="n"/>
    </row>
    <row r="100">
      <c r="A100" s="12" t="n"/>
      <c r="B100" s="38" t="n"/>
      <c r="C100" s="12" t="n"/>
      <c r="D100" s="12" t="n"/>
      <c r="E100" s="12" t="n"/>
      <c r="F100" s="43" t="n"/>
      <c r="G100" s="12" t="n"/>
      <c r="H100" s="12" t="n"/>
      <c r="I100" s="12" t="n"/>
      <c r="J100" s="12" t="n"/>
      <c r="K100" s="12" t="n"/>
      <c r="L100" s="38" t="n"/>
      <c r="M100" s="12" t="n"/>
      <c r="N100" s="12" t="n"/>
      <c r="O100" s="12" t="n"/>
      <c r="P100" s="12" t="n"/>
    </row>
    <row r="101">
      <c r="A101" s="12" t="n"/>
      <c r="B101" s="38" t="n"/>
      <c r="C101" s="12" t="n"/>
      <c r="D101" s="12" t="n"/>
      <c r="E101" s="12" t="n"/>
      <c r="F101" s="43" t="n"/>
      <c r="G101" s="12" t="n"/>
      <c r="H101" s="12" t="n"/>
      <c r="I101" s="12" t="n"/>
      <c r="J101" s="12" t="n"/>
      <c r="K101" s="12" t="n"/>
      <c r="L101" s="38" t="n"/>
      <c r="M101" s="12" t="n"/>
      <c r="N101" s="12" t="n"/>
      <c r="O101" s="12" t="n"/>
      <c r="P101" s="12" t="n"/>
    </row>
    <row r="102">
      <c r="A102" s="12" t="n"/>
      <c r="B102" s="38" t="n"/>
      <c r="C102" s="12" t="n"/>
      <c r="D102" s="12" t="n"/>
      <c r="E102" s="12" t="n"/>
      <c r="F102" s="43" t="n"/>
      <c r="G102" s="12" t="n"/>
      <c r="H102" s="12" t="n"/>
      <c r="I102" s="12" t="n"/>
      <c r="J102" s="12" t="n"/>
      <c r="K102" s="12" t="n"/>
      <c r="L102" s="38" t="n"/>
      <c r="M102" s="12" t="n"/>
      <c r="N102" s="12" t="n"/>
      <c r="O102" s="12" t="n"/>
      <c r="P102" s="12" t="n"/>
    </row>
    <row r="103">
      <c r="A103" s="12" t="n"/>
      <c r="B103" s="38" t="n"/>
      <c r="C103" s="12" t="n"/>
      <c r="D103" s="12" t="n"/>
      <c r="E103" s="12" t="n"/>
      <c r="F103" s="43" t="n"/>
      <c r="G103" s="12" t="n"/>
      <c r="H103" s="12" t="n"/>
      <c r="I103" s="12" t="n"/>
      <c r="J103" s="12" t="n"/>
      <c r="K103" s="12" t="n"/>
      <c r="L103" s="38" t="n"/>
      <c r="M103" s="12" t="n"/>
      <c r="N103" s="12" t="n"/>
      <c r="O103" s="12" t="n"/>
      <c r="P103" s="12" t="n"/>
    </row>
    <row r="104">
      <c r="A104" s="12" t="n"/>
      <c r="B104" s="38" t="n"/>
      <c r="C104" s="12" t="n"/>
      <c r="D104" s="12" t="n"/>
      <c r="E104" s="12" t="n"/>
      <c r="F104" s="43" t="n"/>
      <c r="G104" s="12" t="n"/>
      <c r="H104" s="12" t="n"/>
      <c r="I104" s="12" t="n"/>
      <c r="J104" s="12" t="n"/>
      <c r="K104" s="12" t="n"/>
      <c r="L104" s="38" t="n"/>
      <c r="M104" s="12" t="n"/>
      <c r="N104" s="12" t="n"/>
      <c r="O104" s="12" t="n"/>
      <c r="P104" s="12" t="n"/>
    </row>
    <row r="105">
      <c r="A105" s="12" t="n"/>
      <c r="B105" s="38" t="n"/>
      <c r="C105" s="12" t="n"/>
      <c r="D105" s="12" t="n"/>
      <c r="E105" s="12" t="n"/>
      <c r="F105" s="43" t="n"/>
      <c r="G105" s="12" t="n"/>
      <c r="H105" s="12" t="n"/>
      <c r="I105" s="12" t="n"/>
      <c r="J105" s="12" t="n"/>
      <c r="K105" s="12" t="n"/>
      <c r="L105" s="38" t="n"/>
      <c r="M105" s="12" t="n"/>
      <c r="N105" s="12" t="n"/>
      <c r="O105" s="12" t="n"/>
      <c r="P105" s="12" t="n"/>
    </row>
    <row r="106">
      <c r="A106" s="12" t="n"/>
      <c r="B106" s="38" t="n"/>
      <c r="C106" s="12" t="n"/>
      <c r="D106" s="12" t="n"/>
      <c r="E106" s="12" t="n"/>
      <c r="F106" s="43" t="n"/>
      <c r="G106" s="12" t="n"/>
      <c r="H106" s="12" t="n"/>
      <c r="I106" s="12" t="n"/>
      <c r="J106" s="12" t="n"/>
      <c r="K106" s="12" t="n"/>
      <c r="L106" s="38" t="n"/>
      <c r="M106" s="12" t="n"/>
      <c r="N106" s="12" t="n"/>
      <c r="O106" s="12" t="n"/>
      <c r="P106" s="12" t="n"/>
    </row>
    <row r="107">
      <c r="A107" s="12" t="n"/>
      <c r="B107" s="38" t="n"/>
      <c r="C107" s="12" t="n"/>
      <c r="D107" s="12" t="n"/>
      <c r="E107" s="12" t="n"/>
      <c r="F107" s="43" t="n"/>
      <c r="G107" s="12" t="n"/>
      <c r="H107" s="12" t="n"/>
      <c r="I107" s="12" t="n"/>
      <c r="J107" s="12" t="n"/>
      <c r="K107" s="12" t="n"/>
      <c r="L107" s="38" t="n"/>
      <c r="M107" s="12" t="n"/>
      <c r="N107" s="12" t="n"/>
      <c r="O107" s="12" t="n"/>
      <c r="P107" s="12" t="n"/>
    </row>
    <row r="108">
      <c r="A108" s="12" t="n"/>
      <c r="B108" s="38" t="n"/>
      <c r="C108" s="12" t="n"/>
      <c r="D108" s="12" t="n"/>
      <c r="E108" s="12" t="n"/>
      <c r="F108" s="43" t="n"/>
      <c r="G108" s="12" t="n"/>
      <c r="H108" s="12" t="n"/>
      <c r="I108" s="12" t="n"/>
      <c r="J108" s="12" t="n"/>
      <c r="K108" s="12" t="n"/>
      <c r="L108" s="38" t="n"/>
      <c r="M108" s="12" t="n"/>
      <c r="N108" s="12" t="n"/>
      <c r="O108" s="12" t="n"/>
      <c r="P108" s="12" t="n"/>
    </row>
    <row r="109">
      <c r="A109" s="12" t="n"/>
      <c r="B109" s="38" t="n"/>
      <c r="C109" s="12" t="n"/>
      <c r="D109" s="12" t="n"/>
      <c r="E109" s="12" t="n"/>
      <c r="F109" s="43" t="n"/>
      <c r="G109" s="12" t="n"/>
      <c r="H109" s="12" t="n"/>
      <c r="I109" s="12" t="n"/>
      <c r="J109" s="12" t="n"/>
      <c r="K109" s="12" t="n"/>
      <c r="L109" s="38" t="n"/>
      <c r="M109" s="12" t="n"/>
      <c r="N109" s="12" t="n"/>
      <c r="O109" s="12" t="n"/>
      <c r="P109" s="12" t="n"/>
    </row>
    <row r="110">
      <c r="A110" s="12" t="n"/>
      <c r="B110" s="38" t="n"/>
      <c r="C110" s="12" t="n"/>
      <c r="D110" s="12" t="n"/>
      <c r="E110" s="12" t="n"/>
      <c r="F110" s="43" t="n"/>
      <c r="G110" s="12" t="n"/>
      <c r="H110" s="12" t="n"/>
      <c r="I110" s="12" t="n"/>
      <c r="J110" s="12" t="n"/>
      <c r="K110" s="12" t="n"/>
      <c r="L110" s="38" t="n"/>
      <c r="M110" s="12" t="n"/>
      <c r="N110" s="12" t="n"/>
      <c r="O110" s="12" t="n"/>
      <c r="P110" s="12" t="n"/>
    </row>
    <row r="111">
      <c r="A111" s="12" t="n"/>
      <c r="B111" s="38" t="n"/>
      <c r="C111" s="12" t="n"/>
      <c r="D111" s="12" t="n"/>
      <c r="E111" s="12" t="n"/>
      <c r="F111" s="43" t="n"/>
      <c r="G111" s="12" t="n"/>
      <c r="H111" s="12" t="n"/>
      <c r="I111" s="12" t="n"/>
      <c r="J111" s="12" t="n"/>
      <c r="K111" s="12" t="n"/>
      <c r="L111" s="38" t="n"/>
      <c r="M111" s="12" t="n"/>
      <c r="N111" s="12" t="n"/>
      <c r="O111" s="12" t="n"/>
      <c r="P111" s="12" t="n"/>
    </row>
    <row r="112">
      <c r="A112" s="12" t="n"/>
      <c r="B112" s="38" t="n"/>
      <c r="C112" s="12" t="n"/>
      <c r="D112" s="12" t="n"/>
      <c r="E112" s="12" t="n"/>
      <c r="F112" s="43" t="n"/>
      <c r="G112" s="12" t="n"/>
      <c r="H112" s="12" t="n"/>
      <c r="I112" s="12" t="n"/>
      <c r="J112" s="12" t="n"/>
      <c r="K112" s="12" t="n"/>
      <c r="L112" s="38" t="n"/>
      <c r="M112" s="12" t="n"/>
      <c r="N112" s="12" t="n"/>
      <c r="O112" s="12" t="n"/>
      <c r="P112" s="12" t="n"/>
    </row>
    <row r="113">
      <c r="A113" s="12" t="n"/>
      <c r="B113" s="38" t="n"/>
      <c r="C113" s="12" t="n"/>
      <c r="D113" s="12" t="n"/>
      <c r="E113" s="12" t="n"/>
      <c r="F113" s="43" t="n"/>
      <c r="G113" s="12" t="n"/>
      <c r="H113" s="12" t="n"/>
      <c r="I113" s="12" t="n"/>
      <c r="J113" s="12" t="n"/>
      <c r="K113" s="12" t="n"/>
      <c r="L113" s="38" t="n"/>
      <c r="M113" s="12" t="n"/>
      <c r="N113" s="12" t="n"/>
      <c r="O113" s="12" t="n"/>
      <c r="P113" s="12" t="n"/>
    </row>
    <row r="114">
      <c r="A114" s="12" t="n"/>
      <c r="B114" s="38" t="n"/>
      <c r="C114" s="12" t="n"/>
      <c r="D114" s="12" t="n"/>
      <c r="E114" s="12" t="n"/>
      <c r="F114" s="43" t="n"/>
      <c r="G114" s="12" t="n"/>
      <c r="H114" s="12" t="n"/>
      <c r="I114" s="12" t="n"/>
      <c r="J114" s="12" t="n"/>
      <c r="K114" s="12" t="n"/>
      <c r="L114" s="38" t="n"/>
      <c r="M114" s="12" t="n"/>
      <c r="N114" s="12" t="n"/>
      <c r="O114" s="12" t="n"/>
      <c r="P114" s="12" t="n"/>
    </row>
    <row r="115">
      <c r="A115" s="12" t="n"/>
      <c r="B115" s="38" t="n"/>
      <c r="C115" s="12" t="n"/>
      <c r="D115" s="12" t="n"/>
      <c r="E115" s="12" t="n"/>
      <c r="F115" s="43" t="n"/>
      <c r="G115" s="12" t="n"/>
      <c r="H115" s="12" t="n"/>
      <c r="I115" s="12" t="n"/>
      <c r="J115" s="12" t="n"/>
      <c r="K115" s="12" t="n"/>
      <c r="L115" s="38" t="n"/>
      <c r="M115" s="12" t="n"/>
      <c r="N115" s="12" t="n"/>
      <c r="O115" s="12" t="n"/>
      <c r="P115" s="12" t="n"/>
    </row>
    <row r="116">
      <c r="A116" s="12" t="n"/>
      <c r="B116" s="38" t="n"/>
      <c r="C116" s="12" t="n"/>
      <c r="D116" s="12" t="n"/>
      <c r="E116" s="12" t="n"/>
      <c r="F116" s="43" t="n"/>
      <c r="G116" s="12" t="n"/>
      <c r="H116" s="12" t="n"/>
      <c r="I116" s="12" t="n"/>
      <c r="J116" s="12" t="n"/>
      <c r="K116" s="12" t="n"/>
      <c r="L116" s="38" t="n"/>
      <c r="M116" s="12" t="n"/>
      <c r="N116" s="12" t="n"/>
      <c r="O116" s="12" t="n"/>
      <c r="P116" s="12" t="n"/>
    </row>
    <row r="117">
      <c r="A117" s="12" t="n"/>
      <c r="B117" s="38" t="n"/>
      <c r="C117" s="12" t="n"/>
      <c r="D117" s="12" t="n"/>
      <c r="E117" s="12" t="n"/>
      <c r="F117" s="43" t="n"/>
      <c r="G117" s="12" t="n"/>
      <c r="H117" s="12" t="n"/>
      <c r="I117" s="12" t="n"/>
      <c r="J117" s="12" t="n"/>
      <c r="K117" s="12" t="n"/>
      <c r="L117" s="38" t="n"/>
      <c r="M117" s="12" t="n"/>
      <c r="N117" s="12" t="n"/>
      <c r="O117" s="12" t="n"/>
      <c r="P117" s="12" t="n"/>
    </row>
    <row r="118">
      <c r="A118" s="12" t="n"/>
      <c r="B118" s="38" t="n"/>
      <c r="C118" s="12" t="n"/>
      <c r="D118" s="12" t="n"/>
      <c r="E118" s="12" t="n"/>
      <c r="F118" s="43" t="n"/>
      <c r="G118" s="12" t="n"/>
      <c r="H118" s="12" t="n"/>
      <c r="I118" s="12" t="n"/>
      <c r="J118" s="12" t="n"/>
      <c r="K118" s="12" t="n"/>
      <c r="L118" s="38" t="n"/>
      <c r="M118" s="12" t="n"/>
      <c r="N118" s="12" t="n"/>
      <c r="O118" s="12" t="n"/>
      <c r="P118" s="12" t="n"/>
    </row>
    <row r="119">
      <c r="A119" s="12" t="n"/>
      <c r="B119" s="38" t="n"/>
      <c r="C119" s="12" t="n"/>
      <c r="D119" s="12" t="n"/>
      <c r="E119" s="12" t="n"/>
      <c r="F119" s="43" t="n"/>
      <c r="G119" s="12" t="n"/>
      <c r="H119" s="12" t="n"/>
      <c r="I119" s="12" t="n"/>
      <c r="J119" s="12" t="n"/>
      <c r="K119" s="12" t="n"/>
      <c r="L119" s="38" t="n"/>
      <c r="M119" s="12" t="n"/>
      <c r="N119" s="12" t="n"/>
      <c r="O119" s="12" t="n"/>
      <c r="P119" s="12" t="n"/>
    </row>
    <row r="120">
      <c r="A120" s="12" t="n"/>
      <c r="B120" s="38" t="n"/>
      <c r="C120" s="12" t="n"/>
      <c r="D120" s="12" t="n"/>
      <c r="E120" s="12" t="n"/>
      <c r="F120" s="43" t="n"/>
      <c r="G120" s="12" t="n"/>
      <c r="H120" s="12" t="n"/>
      <c r="I120" s="12" t="n"/>
      <c r="J120" s="12" t="n"/>
      <c r="K120" s="12" t="n"/>
      <c r="L120" s="38" t="n"/>
      <c r="M120" s="12" t="n"/>
      <c r="N120" s="12" t="n"/>
      <c r="O120" s="12" t="n"/>
      <c r="P120" s="12" t="n"/>
    </row>
    <row r="121">
      <c r="A121" s="12" t="n"/>
      <c r="B121" s="38" t="n"/>
      <c r="C121" s="12" t="n"/>
      <c r="D121" s="12" t="n"/>
      <c r="E121" s="12" t="n"/>
      <c r="F121" s="43" t="n"/>
      <c r="G121" s="12" t="n"/>
      <c r="H121" s="12" t="n"/>
      <c r="I121" s="12" t="n"/>
      <c r="J121" s="12" t="n"/>
      <c r="K121" s="12" t="n"/>
      <c r="L121" s="38" t="n"/>
      <c r="M121" s="12" t="n"/>
      <c r="N121" s="12" t="n"/>
      <c r="O121" s="12" t="n"/>
      <c r="P121" s="12" t="n"/>
    </row>
    <row r="122">
      <c r="A122" s="12" t="n"/>
      <c r="B122" s="38" t="n"/>
      <c r="C122" s="12" t="n"/>
      <c r="D122" s="12" t="n"/>
      <c r="E122" s="12" t="n"/>
      <c r="F122" s="43" t="n"/>
      <c r="G122" s="12" t="n"/>
      <c r="H122" s="12" t="n"/>
      <c r="I122" s="12" t="n"/>
      <c r="J122" s="12" t="n"/>
      <c r="K122" s="12" t="n"/>
      <c r="L122" s="38" t="n"/>
      <c r="M122" s="12" t="n"/>
      <c r="N122" s="12" t="n"/>
      <c r="O122" s="12" t="n"/>
      <c r="P122" s="12" t="n"/>
    </row>
    <row r="123">
      <c r="A123" s="12" t="n"/>
      <c r="B123" s="38" t="n"/>
      <c r="C123" s="12" t="n"/>
      <c r="D123" s="12" t="n"/>
      <c r="E123" s="12" t="n"/>
      <c r="F123" s="43" t="n"/>
      <c r="G123" s="12" t="n"/>
      <c r="H123" s="12" t="n"/>
      <c r="I123" s="12" t="n"/>
      <c r="J123" s="12" t="n"/>
      <c r="K123" s="12" t="n"/>
      <c r="L123" s="38" t="n"/>
      <c r="M123" s="12" t="n"/>
      <c r="N123" s="12" t="n"/>
      <c r="O123" s="12" t="n"/>
      <c r="P123" s="12" t="n"/>
    </row>
    <row r="124">
      <c r="A124" s="12" t="n"/>
      <c r="B124" s="38" t="n"/>
      <c r="C124" s="12" t="n"/>
      <c r="D124" s="12" t="n"/>
      <c r="E124" s="12" t="n"/>
      <c r="F124" s="43" t="n"/>
      <c r="G124" s="12" t="n"/>
      <c r="H124" s="12" t="n"/>
      <c r="I124" s="12" t="n"/>
      <c r="J124" s="12" t="n"/>
      <c r="K124" s="12" t="n"/>
      <c r="L124" s="38" t="n"/>
      <c r="M124" s="12" t="n"/>
      <c r="N124" s="12" t="n"/>
      <c r="O124" s="12" t="n"/>
      <c r="P124" s="12" t="n"/>
    </row>
    <row r="125">
      <c r="A125" s="12" t="n"/>
      <c r="B125" s="38" t="n"/>
      <c r="C125" s="12" t="n"/>
      <c r="D125" s="12" t="n"/>
      <c r="E125" s="12" t="n"/>
      <c r="F125" s="43" t="n"/>
      <c r="G125" s="12" t="n"/>
      <c r="H125" s="12" t="n"/>
      <c r="I125" s="12" t="n"/>
      <c r="J125" s="12" t="n"/>
      <c r="K125" s="12" t="n"/>
      <c r="L125" s="38" t="n"/>
      <c r="M125" s="12" t="n"/>
      <c r="N125" s="12" t="n"/>
      <c r="O125" s="12" t="n"/>
      <c r="P125" s="12" t="n"/>
    </row>
    <row r="126">
      <c r="A126" s="12" t="n"/>
      <c r="B126" s="38" t="n"/>
      <c r="C126" s="12" t="n"/>
      <c r="D126" s="12" t="n"/>
      <c r="E126" s="12" t="n"/>
      <c r="F126" s="43" t="n"/>
      <c r="G126" s="12" t="n"/>
      <c r="H126" s="12" t="n"/>
      <c r="I126" s="12" t="n"/>
      <c r="J126" s="12" t="n"/>
      <c r="K126" s="12" t="n"/>
      <c r="L126" s="38" t="n"/>
      <c r="M126" s="12" t="n"/>
      <c r="N126" s="12" t="n"/>
      <c r="O126" s="12" t="n"/>
      <c r="P126" s="12" t="n"/>
    </row>
    <row r="127">
      <c r="A127" s="12" t="n"/>
      <c r="B127" s="38" t="n"/>
      <c r="C127" s="12" t="n"/>
      <c r="D127" s="12" t="n"/>
      <c r="E127" s="12" t="n"/>
      <c r="F127" s="43" t="n"/>
      <c r="G127" s="12" t="n"/>
      <c r="H127" s="12" t="n"/>
      <c r="I127" s="12" t="n"/>
      <c r="J127" s="12" t="n"/>
      <c r="K127" s="12" t="n"/>
      <c r="L127" s="38" t="n"/>
      <c r="M127" s="12" t="n"/>
      <c r="N127" s="12" t="n"/>
      <c r="O127" s="12" t="n"/>
      <c r="P127" s="12" t="n"/>
    </row>
    <row r="128">
      <c r="A128" s="12" t="n"/>
      <c r="B128" s="38" t="n"/>
      <c r="C128" s="12" t="n"/>
      <c r="D128" s="12" t="n"/>
      <c r="E128" s="12" t="n"/>
      <c r="F128" s="43" t="n"/>
      <c r="G128" s="12" t="n"/>
      <c r="H128" s="12" t="n"/>
      <c r="I128" s="12" t="n"/>
      <c r="J128" s="12" t="n"/>
      <c r="K128" s="12" t="n"/>
      <c r="L128" s="38" t="n"/>
      <c r="M128" s="12" t="n"/>
      <c r="N128" s="12" t="n"/>
      <c r="O128" s="12" t="n"/>
      <c r="P128" s="12" t="n"/>
    </row>
    <row r="129">
      <c r="A129" s="12" t="n"/>
      <c r="B129" s="38" t="n"/>
      <c r="C129" s="12" t="n"/>
      <c r="D129" s="12" t="n"/>
      <c r="E129" s="12" t="n"/>
      <c r="F129" s="43" t="n"/>
      <c r="G129" s="12" t="n"/>
      <c r="H129" s="12" t="n"/>
      <c r="I129" s="12" t="n"/>
      <c r="J129" s="12" t="n"/>
      <c r="K129" s="12" t="n"/>
      <c r="L129" s="38" t="n"/>
      <c r="M129" s="12" t="n"/>
      <c r="N129" s="12" t="n"/>
      <c r="O129" s="12" t="n"/>
      <c r="P129" s="12" t="n"/>
    </row>
    <row r="130">
      <c r="A130" s="12" t="n"/>
      <c r="B130" s="38" t="n"/>
      <c r="C130" s="12" t="n"/>
      <c r="D130" s="12" t="n"/>
      <c r="E130" s="12" t="n"/>
      <c r="F130" s="43" t="n"/>
      <c r="G130" s="12" t="n"/>
      <c r="H130" s="12" t="n"/>
      <c r="I130" s="12" t="n"/>
      <c r="J130" s="12" t="n"/>
      <c r="K130" s="12" t="n"/>
      <c r="L130" s="38" t="n"/>
      <c r="M130" s="12" t="n"/>
      <c r="N130" s="12" t="n"/>
      <c r="O130" s="12" t="n"/>
      <c r="P130" s="12" t="n"/>
    </row>
    <row r="131">
      <c r="A131" s="12" t="n"/>
      <c r="B131" s="38" t="n"/>
      <c r="C131" s="12" t="n"/>
      <c r="D131" s="12" t="n"/>
      <c r="E131" s="12" t="n"/>
      <c r="F131" s="43" t="n"/>
      <c r="G131" s="12" t="n"/>
      <c r="H131" s="12" t="n"/>
      <c r="I131" s="12" t="n"/>
      <c r="J131" s="12" t="n"/>
      <c r="K131" s="12" t="n"/>
      <c r="L131" s="38" t="n"/>
      <c r="M131" s="12" t="n"/>
      <c r="N131" s="12" t="n"/>
      <c r="O131" s="12" t="n"/>
      <c r="P131" s="12" t="n"/>
    </row>
    <row r="132">
      <c r="A132" s="12" t="n"/>
      <c r="B132" s="38" t="n"/>
      <c r="C132" s="12" t="n"/>
      <c r="D132" s="12" t="n"/>
      <c r="E132" s="12" t="n"/>
      <c r="F132" s="43" t="n"/>
      <c r="G132" s="12" t="n"/>
      <c r="H132" s="12" t="n"/>
      <c r="I132" s="12" t="n"/>
      <c r="J132" s="12" t="n"/>
      <c r="K132" s="12" t="n"/>
      <c r="L132" s="38" t="n"/>
      <c r="M132" s="12" t="n"/>
      <c r="N132" s="12" t="n"/>
      <c r="O132" s="12" t="n"/>
      <c r="P132" s="12" t="n"/>
    </row>
    <row r="133">
      <c r="A133" s="12" t="n"/>
      <c r="B133" s="38" t="n"/>
      <c r="C133" s="12" t="n"/>
      <c r="D133" s="12" t="n"/>
      <c r="E133" s="12" t="n"/>
      <c r="F133" s="43" t="n"/>
      <c r="G133" s="12" t="n"/>
      <c r="H133" s="12" t="n"/>
      <c r="I133" s="12" t="n"/>
      <c r="J133" s="12" t="n"/>
      <c r="K133" s="12" t="n"/>
      <c r="L133" s="38" t="n"/>
      <c r="M133" s="12" t="n"/>
      <c r="N133" s="12" t="n"/>
      <c r="O133" s="12" t="n"/>
      <c r="P133" s="12" t="n"/>
    </row>
    <row r="134">
      <c r="A134" s="12" t="n"/>
      <c r="B134" s="38" t="n"/>
      <c r="C134" s="12" t="n"/>
      <c r="D134" s="12" t="n"/>
      <c r="E134" s="12" t="n"/>
      <c r="F134" s="43" t="n"/>
      <c r="G134" s="12" t="n"/>
      <c r="H134" s="12" t="n"/>
      <c r="I134" s="12" t="n"/>
      <c r="J134" s="12" t="n"/>
      <c r="K134" s="12" t="n"/>
      <c r="L134" s="38" t="n"/>
      <c r="M134" s="12" t="n"/>
      <c r="N134" s="12" t="n"/>
      <c r="O134" s="12" t="n"/>
      <c r="P134" s="12" t="n"/>
    </row>
    <row r="135">
      <c r="A135" s="12" t="n"/>
      <c r="B135" s="38" t="n"/>
      <c r="C135" s="12" t="n"/>
      <c r="D135" s="12" t="n"/>
      <c r="E135" s="12" t="n"/>
      <c r="F135" s="43" t="n"/>
      <c r="G135" s="12" t="n"/>
      <c r="H135" s="12" t="n"/>
      <c r="I135" s="12" t="n"/>
      <c r="J135" s="12" t="n"/>
      <c r="K135" s="12" t="n"/>
      <c r="L135" s="38" t="n"/>
      <c r="M135" s="12" t="n"/>
      <c r="N135" s="12" t="n"/>
      <c r="O135" s="12" t="n"/>
      <c r="P135" s="12" t="n"/>
    </row>
    <row r="136">
      <c r="A136" s="12" t="n"/>
      <c r="B136" s="38" t="n"/>
      <c r="C136" s="12" t="n"/>
      <c r="D136" s="12" t="n"/>
      <c r="E136" s="12" t="n"/>
      <c r="F136" s="43" t="n"/>
      <c r="G136" s="12" t="n"/>
      <c r="H136" s="12" t="n"/>
      <c r="I136" s="12" t="n"/>
      <c r="J136" s="12" t="n"/>
      <c r="K136" s="12" t="n"/>
      <c r="L136" s="38" t="n"/>
      <c r="M136" s="12" t="n"/>
      <c r="N136" s="12" t="n"/>
      <c r="O136" s="12" t="n"/>
      <c r="P136" s="12" t="n"/>
    </row>
    <row r="137">
      <c r="A137" s="12" t="n"/>
      <c r="B137" s="38" t="n"/>
      <c r="C137" s="12" t="n"/>
      <c r="D137" s="12" t="n"/>
      <c r="E137" s="12" t="n"/>
      <c r="F137" s="43" t="n"/>
      <c r="G137" s="12" t="n"/>
      <c r="H137" s="12" t="n"/>
      <c r="I137" s="12" t="n"/>
      <c r="J137" s="12" t="n"/>
      <c r="K137" s="12" t="n"/>
      <c r="L137" s="38" t="n"/>
      <c r="M137" s="12" t="n"/>
      <c r="N137" s="12" t="n"/>
      <c r="O137" s="12" t="n"/>
      <c r="P137" s="12" t="n"/>
    </row>
    <row r="138">
      <c r="A138" s="12" t="n"/>
      <c r="B138" s="38" t="n"/>
      <c r="C138" s="12" t="n"/>
      <c r="D138" s="12" t="n"/>
      <c r="E138" s="12" t="n"/>
      <c r="F138" s="43" t="n"/>
      <c r="G138" s="12" t="n"/>
      <c r="H138" s="12" t="n"/>
      <c r="I138" s="12" t="n"/>
      <c r="J138" s="12" t="n"/>
      <c r="K138" s="12" t="n"/>
      <c r="L138" s="38" t="n"/>
      <c r="M138" s="12" t="n"/>
      <c r="N138" s="12" t="n"/>
      <c r="O138" s="12" t="n"/>
      <c r="P138" s="12" t="n"/>
    </row>
    <row r="139">
      <c r="A139" s="12" t="n"/>
      <c r="B139" s="38" t="n"/>
      <c r="C139" s="12" t="n"/>
      <c r="D139" s="12" t="n"/>
      <c r="E139" s="12" t="n"/>
      <c r="F139" s="43" t="n"/>
      <c r="G139" s="12" t="n"/>
      <c r="H139" s="12" t="n"/>
      <c r="I139" s="12" t="n"/>
      <c r="J139" s="12" t="n"/>
      <c r="K139" s="12" t="n"/>
      <c r="L139" s="38" t="n"/>
      <c r="M139" s="12" t="n"/>
      <c r="N139" s="12" t="n"/>
      <c r="O139" s="12" t="n"/>
      <c r="P139" s="12" t="n"/>
    </row>
    <row r="140">
      <c r="A140" s="12" t="n"/>
      <c r="B140" s="38" t="n"/>
      <c r="C140" s="12" t="n"/>
      <c r="D140" s="12" t="n"/>
      <c r="E140" s="12" t="n"/>
      <c r="F140" s="43" t="n"/>
      <c r="G140" s="12" t="n"/>
      <c r="H140" s="12" t="n"/>
      <c r="I140" s="12" t="n"/>
      <c r="J140" s="12" t="n"/>
      <c r="K140" s="12" t="n"/>
      <c r="L140" s="38" t="n"/>
      <c r="M140" s="12" t="n"/>
      <c r="N140" s="12" t="n"/>
      <c r="O140" s="12" t="n"/>
      <c r="P140" s="12" t="n"/>
    </row>
    <row r="141">
      <c r="A141" s="12" t="n"/>
      <c r="B141" s="38" t="n"/>
      <c r="C141" s="12" t="n"/>
      <c r="D141" s="12" t="n"/>
      <c r="E141" s="12" t="n"/>
      <c r="F141" s="43" t="n"/>
      <c r="G141" s="12" t="n"/>
      <c r="H141" s="12" t="n"/>
      <c r="I141" s="12" t="n"/>
      <c r="J141" s="12" t="n"/>
      <c r="K141" s="12" t="n"/>
      <c r="L141" s="38" t="n"/>
      <c r="M141" s="12" t="n"/>
      <c r="N141" s="12" t="n"/>
      <c r="O141" s="12" t="n"/>
      <c r="P141" s="12" t="n"/>
    </row>
    <row r="142">
      <c r="A142" s="12" t="n"/>
      <c r="B142" s="38" t="n"/>
      <c r="C142" s="12" t="n"/>
      <c r="D142" s="12" t="n"/>
      <c r="E142" s="12" t="n"/>
      <c r="F142" s="43" t="n"/>
      <c r="G142" s="12" t="n"/>
      <c r="H142" s="12" t="n"/>
      <c r="I142" s="12" t="n"/>
      <c r="J142" s="12" t="n"/>
      <c r="K142" s="12" t="n"/>
      <c r="L142" s="38" t="n"/>
      <c r="M142" s="12" t="n"/>
      <c r="N142" s="12" t="n"/>
      <c r="O142" s="12" t="n"/>
      <c r="P142" s="12" t="n"/>
    </row>
    <row r="143">
      <c r="A143" s="12" t="n"/>
      <c r="B143" s="38" t="n"/>
      <c r="C143" s="12" t="n"/>
      <c r="D143" s="12" t="n"/>
      <c r="E143" s="12" t="n"/>
      <c r="F143" s="43" t="n"/>
      <c r="G143" s="12" t="n"/>
      <c r="H143" s="12" t="n"/>
      <c r="I143" s="12" t="n"/>
      <c r="J143" s="12" t="n"/>
      <c r="K143" s="12" t="n"/>
      <c r="L143" s="38" t="n"/>
      <c r="M143" s="12" t="n"/>
      <c r="N143" s="12" t="n"/>
      <c r="O143" s="12" t="n"/>
      <c r="P143" s="12" t="n"/>
    </row>
    <row r="144">
      <c r="A144" s="12" t="n"/>
      <c r="B144" s="38" t="n"/>
      <c r="C144" s="12" t="n"/>
      <c r="D144" s="12" t="n"/>
      <c r="E144" s="12" t="n"/>
      <c r="F144" s="43" t="n"/>
      <c r="G144" s="12" t="n"/>
      <c r="H144" s="12" t="n"/>
      <c r="I144" s="12" t="n"/>
      <c r="J144" s="12" t="n"/>
      <c r="K144" s="12" t="n"/>
      <c r="L144" s="38" t="n"/>
      <c r="M144" s="12" t="n"/>
      <c r="N144" s="12" t="n"/>
      <c r="O144" s="12" t="n"/>
      <c r="P144" s="12" t="n"/>
    </row>
    <row r="145">
      <c r="A145" s="12" t="n"/>
      <c r="B145" s="38" t="n"/>
      <c r="C145" s="12" t="n"/>
      <c r="D145" s="12" t="n"/>
      <c r="E145" s="12" t="n"/>
      <c r="F145" s="43" t="n"/>
      <c r="G145" s="12" t="n"/>
      <c r="H145" s="12" t="n"/>
      <c r="I145" s="12" t="n"/>
      <c r="J145" s="12" t="n"/>
      <c r="K145" s="12" t="n"/>
      <c r="L145" s="38" t="n"/>
      <c r="M145" s="12" t="n"/>
      <c r="N145" s="12" t="n"/>
      <c r="O145" s="12" t="n"/>
      <c r="P145" s="12" t="n"/>
    </row>
    <row r="146">
      <c r="A146" s="12" t="n"/>
      <c r="B146" s="38" t="n"/>
      <c r="C146" s="12" t="n"/>
      <c r="D146" s="12" t="n"/>
      <c r="E146" s="12" t="n"/>
      <c r="F146" s="43" t="n"/>
      <c r="G146" s="12" t="n"/>
      <c r="H146" s="12" t="n"/>
      <c r="I146" s="12" t="n"/>
      <c r="J146" s="12" t="n"/>
      <c r="K146" s="12" t="n"/>
      <c r="L146" s="38" t="n"/>
      <c r="M146" s="12" t="n"/>
      <c r="N146" s="12" t="n"/>
      <c r="O146" s="12" t="n"/>
      <c r="P146" s="12" t="n"/>
    </row>
    <row r="147">
      <c r="A147" s="12" t="n"/>
      <c r="B147" s="38" t="n"/>
      <c r="C147" s="12" t="n"/>
      <c r="D147" s="12" t="n"/>
      <c r="E147" s="12" t="n"/>
      <c r="F147" s="43" t="n"/>
      <c r="G147" s="12" t="n"/>
      <c r="H147" s="12" t="n"/>
      <c r="I147" s="12" t="n"/>
      <c r="J147" s="12" t="n"/>
      <c r="K147" s="12" t="n"/>
      <c r="L147" s="38" t="n"/>
      <c r="M147" s="12" t="n"/>
      <c r="N147" s="12" t="n"/>
      <c r="O147" s="12" t="n"/>
      <c r="P147" s="12" t="n"/>
    </row>
    <row r="148">
      <c r="A148" s="12" t="n"/>
      <c r="B148" s="38" t="n"/>
      <c r="C148" s="12" t="n"/>
      <c r="D148" s="12" t="n"/>
      <c r="E148" s="12" t="n"/>
      <c r="F148" s="43" t="n"/>
      <c r="G148" s="12" t="n"/>
      <c r="H148" s="12" t="n"/>
      <c r="I148" s="12" t="n"/>
      <c r="J148" s="12" t="n"/>
      <c r="K148" s="12" t="n"/>
      <c r="L148" s="38" t="n"/>
      <c r="M148" s="12" t="n"/>
      <c r="N148" s="12" t="n"/>
      <c r="O148" s="12" t="n"/>
      <c r="P148" s="12" t="n"/>
    </row>
    <row r="149">
      <c r="A149" s="12" t="n"/>
      <c r="B149" s="38" t="n"/>
      <c r="C149" s="12" t="n"/>
      <c r="D149" s="12" t="n"/>
      <c r="E149" s="12" t="n"/>
      <c r="F149" s="43" t="n"/>
      <c r="G149" s="12" t="n"/>
      <c r="H149" s="12" t="n"/>
      <c r="I149" s="12" t="n"/>
      <c r="J149" s="12" t="n"/>
      <c r="K149" s="12" t="n"/>
      <c r="L149" s="38" t="n"/>
      <c r="M149" s="12" t="n"/>
      <c r="N149" s="12" t="n"/>
      <c r="O149" s="12" t="n"/>
      <c r="P149" s="12" t="n"/>
    </row>
    <row r="150">
      <c r="A150" s="12" t="n"/>
      <c r="B150" s="38" t="n"/>
      <c r="C150" s="12" t="n"/>
      <c r="D150" s="12" t="n"/>
      <c r="E150" s="12" t="n"/>
      <c r="F150" s="43" t="n"/>
      <c r="G150" s="12" t="n"/>
      <c r="H150" s="12" t="n"/>
      <c r="I150" s="12" t="n"/>
      <c r="J150" s="12" t="n"/>
      <c r="K150" s="12" t="n"/>
      <c r="L150" s="38" t="n"/>
      <c r="M150" s="12" t="n"/>
      <c r="N150" s="12" t="n"/>
      <c r="O150" s="12" t="n"/>
      <c r="P150" s="12" t="n"/>
    </row>
    <row r="151">
      <c r="A151" s="12" t="n"/>
      <c r="B151" s="38" t="n"/>
      <c r="C151" s="12" t="n"/>
      <c r="D151" s="12" t="n"/>
      <c r="E151" s="12" t="n"/>
      <c r="F151" s="43" t="n"/>
      <c r="G151" s="12" t="n"/>
      <c r="H151" s="12" t="n"/>
      <c r="I151" s="12" t="n"/>
      <c r="J151" s="12" t="n"/>
      <c r="K151" s="12" t="n"/>
      <c r="L151" s="38" t="n"/>
      <c r="M151" s="12" t="n"/>
      <c r="N151" s="12" t="n"/>
      <c r="O151" s="12" t="n"/>
      <c r="P151" s="12" t="n"/>
    </row>
    <row r="152">
      <c r="A152" s="12" t="n"/>
      <c r="B152" s="38" t="n"/>
      <c r="C152" s="12" t="n"/>
      <c r="D152" s="12" t="n"/>
      <c r="E152" s="12" t="n"/>
      <c r="F152" s="43" t="n"/>
      <c r="G152" s="12" t="n"/>
      <c r="H152" s="12" t="n"/>
      <c r="I152" s="12" t="n"/>
      <c r="J152" s="12" t="n"/>
      <c r="K152" s="12" t="n"/>
      <c r="L152" s="38" t="n"/>
      <c r="M152" s="12" t="n"/>
      <c r="N152" s="12" t="n"/>
      <c r="O152" s="12" t="n"/>
      <c r="P152" s="12" t="n"/>
    </row>
    <row r="153">
      <c r="A153" s="12" t="n"/>
      <c r="B153" s="38" t="n"/>
      <c r="C153" s="12" t="n"/>
      <c r="D153" s="12" t="n"/>
      <c r="E153" s="12" t="n"/>
      <c r="F153" s="43" t="n"/>
      <c r="G153" s="12" t="n"/>
      <c r="H153" s="12" t="n"/>
      <c r="I153" s="12" t="n"/>
      <c r="J153" s="12" t="n"/>
      <c r="K153" s="12" t="n"/>
      <c r="L153" s="38" t="n"/>
      <c r="M153" s="12" t="n"/>
      <c r="N153" s="12" t="n"/>
      <c r="O153" s="12" t="n"/>
      <c r="P153" s="12" t="n"/>
    </row>
    <row r="154">
      <c r="A154" s="12" t="n"/>
      <c r="B154" s="38" t="n"/>
      <c r="C154" s="12" t="n"/>
      <c r="D154" s="12" t="n"/>
      <c r="E154" s="12" t="n"/>
      <c r="F154" s="43" t="n"/>
      <c r="G154" s="12" t="n"/>
      <c r="H154" s="12" t="n"/>
      <c r="I154" s="12" t="n"/>
      <c r="J154" s="12" t="n"/>
      <c r="K154" s="12" t="n"/>
      <c r="L154" s="38" t="n"/>
      <c r="M154" s="12" t="n"/>
      <c r="N154" s="12" t="n"/>
      <c r="O154" s="12" t="n"/>
      <c r="P154" s="12" t="n"/>
    </row>
    <row r="155">
      <c r="A155" s="12" t="n"/>
      <c r="B155" s="38" t="n"/>
      <c r="C155" s="12" t="n"/>
      <c r="D155" s="12" t="n"/>
      <c r="E155" s="12" t="n"/>
      <c r="F155" s="43" t="n"/>
      <c r="G155" s="12" t="n"/>
      <c r="H155" s="12" t="n"/>
      <c r="I155" s="12" t="n"/>
      <c r="J155" s="12" t="n"/>
      <c r="K155" s="12" t="n"/>
      <c r="L155" s="38" t="n"/>
      <c r="M155" s="12" t="n"/>
      <c r="N155" s="12" t="n"/>
      <c r="O155" s="12" t="n"/>
      <c r="P155" s="12" t="n"/>
    </row>
    <row r="156">
      <c r="A156" s="12" t="n"/>
      <c r="B156" s="38" t="n"/>
      <c r="C156" s="12" t="n"/>
      <c r="D156" s="12" t="n"/>
      <c r="E156" s="12" t="n"/>
      <c r="F156" s="43" t="n"/>
      <c r="G156" s="12" t="n"/>
      <c r="H156" s="12" t="n"/>
      <c r="I156" s="12" t="n"/>
      <c r="J156" s="12" t="n"/>
      <c r="K156" s="12" t="n"/>
      <c r="L156" s="38" t="n"/>
      <c r="M156" s="12" t="n"/>
      <c r="N156" s="12" t="n"/>
      <c r="O156" s="12" t="n"/>
      <c r="P156" s="12" t="n"/>
    </row>
    <row r="157">
      <c r="A157" s="12" t="n"/>
      <c r="B157" s="38" t="n"/>
      <c r="C157" s="12" t="n"/>
      <c r="D157" s="12" t="n"/>
      <c r="E157" s="12" t="n"/>
      <c r="F157" s="43" t="n"/>
      <c r="G157" s="12" t="n"/>
      <c r="H157" s="12" t="n"/>
      <c r="I157" s="12" t="n"/>
      <c r="J157" s="12" t="n"/>
      <c r="K157" s="12" t="n"/>
      <c r="L157" s="38" t="n"/>
      <c r="M157" s="12" t="n"/>
      <c r="N157" s="12" t="n"/>
      <c r="O157" s="12" t="n"/>
      <c r="P157" s="12" t="n"/>
    </row>
    <row r="158">
      <c r="A158" s="12" t="n"/>
      <c r="B158" s="38" t="n"/>
      <c r="C158" s="12" t="n"/>
      <c r="D158" s="12" t="n"/>
      <c r="E158" s="12" t="n"/>
      <c r="F158" s="43" t="n"/>
      <c r="G158" s="12" t="n"/>
      <c r="H158" s="12" t="n"/>
      <c r="I158" s="12" t="n"/>
      <c r="J158" s="12" t="n"/>
      <c r="K158" s="12" t="n"/>
      <c r="L158" s="38" t="n"/>
      <c r="M158" s="12" t="n"/>
      <c r="N158" s="12" t="n"/>
      <c r="O158" s="12" t="n"/>
      <c r="P158" s="12" t="n"/>
    </row>
    <row r="159">
      <c r="A159" s="12" t="n"/>
      <c r="B159" s="38" t="n"/>
      <c r="C159" s="12" t="n"/>
      <c r="D159" s="12" t="n"/>
      <c r="E159" s="12" t="n"/>
      <c r="F159" s="43" t="n"/>
      <c r="G159" s="12" t="n"/>
      <c r="H159" s="12" t="n"/>
      <c r="I159" s="12" t="n"/>
      <c r="J159" s="12" t="n"/>
      <c r="K159" s="12" t="n"/>
      <c r="L159" s="38" t="n"/>
      <c r="M159" s="12" t="n"/>
      <c r="N159" s="12" t="n"/>
      <c r="O159" s="12" t="n"/>
      <c r="P159" s="12" t="n"/>
    </row>
    <row r="160">
      <c r="A160" s="12" t="n"/>
      <c r="B160" s="38" t="n"/>
      <c r="C160" s="12" t="n"/>
      <c r="D160" s="12" t="n"/>
      <c r="E160" s="12" t="n"/>
      <c r="F160" s="43" t="n"/>
      <c r="G160" s="12" t="n"/>
      <c r="H160" s="12" t="n"/>
      <c r="I160" s="12" t="n"/>
      <c r="J160" s="12" t="n"/>
      <c r="K160" s="12" t="n"/>
      <c r="L160" s="38" t="n"/>
      <c r="M160" s="12" t="n"/>
      <c r="N160" s="12" t="n"/>
      <c r="O160" s="12" t="n"/>
      <c r="P160" s="12" t="n"/>
    </row>
    <row r="161">
      <c r="A161" s="12" t="n"/>
      <c r="B161" s="38" t="n"/>
      <c r="C161" s="12" t="n"/>
      <c r="D161" s="12" t="n"/>
      <c r="E161" s="12" t="n"/>
      <c r="F161" s="43" t="n"/>
      <c r="G161" s="12" t="n"/>
      <c r="H161" s="12" t="n"/>
      <c r="I161" s="12" t="n"/>
      <c r="J161" s="12" t="n"/>
      <c r="K161" s="12" t="n"/>
      <c r="L161" s="38" t="n"/>
      <c r="M161" s="12" t="n"/>
      <c r="N161" s="12" t="n"/>
      <c r="O161" s="12" t="n"/>
      <c r="P161" s="12" t="n"/>
    </row>
    <row r="162">
      <c r="A162" s="12" t="n"/>
      <c r="B162" s="38" t="n"/>
      <c r="C162" s="12" t="n"/>
      <c r="D162" s="12" t="n"/>
      <c r="E162" s="12" t="n"/>
      <c r="F162" s="43" t="n"/>
      <c r="G162" s="12" t="n"/>
      <c r="H162" s="12" t="n"/>
      <c r="I162" s="12" t="n"/>
      <c r="J162" s="12" t="n"/>
      <c r="K162" s="12" t="n"/>
      <c r="L162" s="38" t="n"/>
      <c r="M162" s="12" t="n"/>
      <c r="N162" s="12" t="n"/>
      <c r="O162" s="12" t="n"/>
      <c r="P162" s="12" t="n"/>
    </row>
    <row r="163">
      <c r="A163" s="12" t="n"/>
      <c r="B163" s="38" t="n"/>
      <c r="C163" s="12" t="n"/>
      <c r="D163" s="12" t="n"/>
      <c r="E163" s="12" t="n"/>
      <c r="F163" s="43" t="n"/>
      <c r="G163" s="12" t="n"/>
      <c r="H163" s="12" t="n"/>
      <c r="I163" s="12" t="n"/>
      <c r="J163" s="12" t="n"/>
      <c r="K163" s="12" t="n"/>
      <c r="L163" s="38" t="n"/>
      <c r="M163" s="12" t="n"/>
      <c r="N163" s="12" t="n"/>
      <c r="O163" s="12" t="n"/>
      <c r="P163" s="12" t="n"/>
    </row>
    <row r="164">
      <c r="A164" s="12" t="n"/>
      <c r="B164" s="38" t="n"/>
      <c r="C164" s="12" t="n"/>
      <c r="D164" s="12" t="n"/>
      <c r="E164" s="12" t="n"/>
      <c r="F164" s="43" t="n"/>
      <c r="G164" s="12" t="n"/>
      <c r="H164" s="12" t="n"/>
      <c r="I164" s="12" t="n"/>
      <c r="J164" s="12" t="n"/>
      <c r="K164" s="12" t="n"/>
      <c r="L164" s="38" t="n"/>
      <c r="M164" s="12" t="n"/>
      <c r="N164" s="12" t="n"/>
      <c r="O164" s="12" t="n"/>
      <c r="P164" s="12" t="n"/>
    </row>
    <row r="165">
      <c r="A165" s="12" t="n"/>
      <c r="B165" s="38" t="n"/>
      <c r="C165" s="12" t="n"/>
      <c r="D165" s="12" t="n"/>
      <c r="E165" s="12" t="n"/>
      <c r="F165" s="43" t="n"/>
      <c r="G165" s="12" t="n"/>
      <c r="H165" s="12" t="n"/>
      <c r="I165" s="12" t="n"/>
      <c r="J165" s="12" t="n"/>
      <c r="K165" s="12" t="n"/>
      <c r="L165" s="38" t="n"/>
      <c r="M165" s="12" t="n"/>
      <c r="N165" s="12" t="n"/>
      <c r="O165" s="12" t="n"/>
      <c r="P165" s="12" t="n"/>
    </row>
    <row r="166">
      <c r="A166" s="12" t="n"/>
      <c r="B166" s="38" t="n"/>
      <c r="C166" s="12" t="n"/>
      <c r="D166" s="12" t="n"/>
      <c r="E166" s="12" t="n"/>
      <c r="F166" s="43" t="n"/>
      <c r="G166" s="12" t="n"/>
      <c r="H166" s="12" t="n"/>
      <c r="I166" s="12" t="n"/>
      <c r="J166" s="12" t="n"/>
      <c r="K166" s="12" t="n"/>
      <c r="L166" s="38" t="n"/>
      <c r="M166" s="12" t="n"/>
      <c r="N166" s="12" t="n"/>
      <c r="O166" s="12" t="n"/>
      <c r="P166" s="12" t="n"/>
    </row>
    <row r="167">
      <c r="A167" s="12" t="n"/>
      <c r="B167" s="38" t="n"/>
      <c r="C167" s="12" t="n"/>
      <c r="D167" s="12" t="n"/>
      <c r="E167" s="12" t="n"/>
      <c r="F167" s="43" t="n"/>
      <c r="G167" s="12" t="n"/>
      <c r="H167" s="12" t="n"/>
      <c r="I167" s="12" t="n"/>
      <c r="J167" s="12" t="n"/>
      <c r="K167" s="12" t="n"/>
      <c r="L167" s="38" t="n"/>
      <c r="M167" s="12" t="n"/>
      <c r="N167" s="12" t="n"/>
      <c r="O167" s="12" t="n"/>
      <c r="P167" s="12" t="n"/>
    </row>
    <row r="168">
      <c r="A168" s="12" t="n"/>
      <c r="B168" s="38" t="n"/>
      <c r="C168" s="12" t="n"/>
      <c r="D168" s="12" t="n"/>
      <c r="E168" s="12" t="n"/>
      <c r="F168" s="43" t="n"/>
      <c r="G168" s="12" t="n"/>
      <c r="H168" s="12" t="n"/>
      <c r="I168" s="12" t="n"/>
      <c r="J168" s="12" t="n"/>
      <c r="K168" s="12" t="n"/>
      <c r="L168" s="38" t="n"/>
      <c r="M168" s="12" t="n"/>
      <c r="N168" s="12" t="n"/>
      <c r="O168" s="12" t="n"/>
      <c r="P168" s="12" t="n"/>
    </row>
    <row r="169">
      <c r="A169" s="12" t="n"/>
      <c r="B169" s="38" t="n"/>
      <c r="C169" s="12" t="n"/>
      <c r="D169" s="12" t="n"/>
      <c r="E169" s="12" t="n"/>
      <c r="F169" s="43" t="n"/>
      <c r="G169" s="12" t="n"/>
      <c r="H169" s="12" t="n"/>
      <c r="I169" s="12" t="n"/>
      <c r="J169" s="12" t="n"/>
      <c r="K169" s="12" t="n"/>
      <c r="L169" s="38" t="n"/>
      <c r="M169" s="12" t="n"/>
      <c r="N169" s="12" t="n"/>
      <c r="O169" s="12" t="n"/>
      <c r="P169" s="12" t="n"/>
    </row>
    <row r="170">
      <c r="A170" s="12" t="n"/>
      <c r="B170" s="38" t="n"/>
      <c r="C170" s="12" t="n"/>
      <c r="D170" s="12" t="n"/>
      <c r="E170" s="12" t="n"/>
      <c r="F170" s="43" t="n"/>
      <c r="G170" s="12" t="n"/>
      <c r="H170" s="12" t="n"/>
      <c r="I170" s="12" t="n"/>
      <c r="J170" s="12" t="n"/>
      <c r="K170" s="12" t="n"/>
      <c r="L170" s="38" t="n"/>
      <c r="M170" s="12" t="n"/>
      <c r="N170" s="12" t="n"/>
      <c r="O170" s="12" t="n"/>
      <c r="P170" s="12" t="n"/>
    </row>
    <row r="171">
      <c r="A171" s="12" t="n"/>
      <c r="B171" s="38" t="n"/>
      <c r="C171" s="12" t="n"/>
      <c r="D171" s="12" t="n"/>
      <c r="E171" s="12" t="n"/>
      <c r="F171" s="43" t="n"/>
      <c r="G171" s="12" t="n"/>
      <c r="H171" s="12" t="n"/>
      <c r="I171" s="12" t="n"/>
      <c r="J171" s="12" t="n"/>
      <c r="K171" s="12" t="n"/>
      <c r="L171" s="38" t="n"/>
      <c r="M171" s="12" t="n"/>
      <c r="N171" s="12" t="n"/>
      <c r="O171" s="12" t="n"/>
      <c r="P171" s="12" t="n"/>
    </row>
    <row r="172">
      <c r="A172" s="12" t="n"/>
      <c r="B172" s="38" t="n"/>
      <c r="C172" s="12" t="n"/>
      <c r="D172" s="12" t="n"/>
      <c r="E172" s="12" t="n"/>
      <c r="F172" s="43" t="n"/>
      <c r="G172" s="12" t="n"/>
      <c r="H172" s="12" t="n"/>
      <c r="I172" s="12" t="n"/>
      <c r="J172" s="12" t="n"/>
      <c r="K172" s="12" t="n"/>
      <c r="L172" s="38" t="n"/>
      <c r="M172" s="12" t="n"/>
      <c r="N172" s="12" t="n"/>
      <c r="O172" s="12" t="n"/>
      <c r="P172" s="12" t="n"/>
    </row>
    <row r="173">
      <c r="A173" s="12" t="n"/>
      <c r="B173" s="38" t="n"/>
      <c r="C173" s="12" t="n"/>
      <c r="D173" s="12" t="n"/>
      <c r="E173" s="12" t="n"/>
      <c r="F173" s="43" t="n"/>
      <c r="G173" s="12" t="n"/>
      <c r="H173" s="12" t="n"/>
      <c r="I173" s="12" t="n"/>
      <c r="J173" s="12" t="n"/>
      <c r="K173" s="12" t="n"/>
      <c r="L173" s="38" t="n"/>
      <c r="M173" s="12" t="n"/>
      <c r="N173" s="12" t="n"/>
      <c r="O173" s="12" t="n"/>
      <c r="P173" s="12" t="n"/>
    </row>
    <row r="174">
      <c r="A174" s="12" t="n"/>
      <c r="B174" s="38" t="n"/>
      <c r="C174" s="12" t="n"/>
      <c r="D174" s="12" t="n"/>
      <c r="E174" s="12" t="n"/>
      <c r="F174" s="43" t="n"/>
      <c r="G174" s="12" t="n"/>
      <c r="H174" s="12" t="n"/>
      <c r="I174" s="12" t="n"/>
      <c r="J174" s="12" t="n"/>
      <c r="K174" s="12" t="n"/>
      <c r="L174" s="38" t="n"/>
      <c r="M174" s="12" t="n"/>
      <c r="N174" s="12" t="n"/>
      <c r="O174" s="12" t="n"/>
      <c r="P174" s="12" t="n"/>
    </row>
    <row r="175">
      <c r="A175" s="12" t="n"/>
      <c r="B175" s="38" t="n"/>
      <c r="C175" s="12" t="n"/>
      <c r="D175" s="12" t="n"/>
      <c r="E175" s="12" t="n"/>
      <c r="F175" s="43" t="n"/>
      <c r="G175" s="12" t="n"/>
      <c r="H175" s="12" t="n"/>
      <c r="I175" s="12" t="n"/>
      <c r="J175" s="12" t="n"/>
      <c r="K175" s="12" t="n"/>
      <c r="L175" s="38" t="n"/>
      <c r="M175" s="12" t="n"/>
      <c r="N175" s="12" t="n"/>
      <c r="O175" s="12" t="n"/>
      <c r="P175" s="12" t="n"/>
    </row>
    <row r="176">
      <c r="A176" s="12" t="n"/>
      <c r="B176" s="38" t="n"/>
      <c r="C176" s="12" t="n"/>
      <c r="D176" s="12" t="n"/>
      <c r="E176" s="12" t="n"/>
      <c r="F176" s="43" t="n"/>
      <c r="G176" s="12" t="n"/>
      <c r="H176" s="12" t="n"/>
      <c r="I176" s="12" t="n"/>
      <c r="J176" s="12" t="n"/>
      <c r="K176" s="12" t="n"/>
      <c r="L176" s="38" t="n"/>
      <c r="M176" s="12" t="n"/>
      <c r="N176" s="12" t="n"/>
      <c r="O176" s="12" t="n"/>
      <c r="P176" s="12" t="n"/>
    </row>
    <row r="177">
      <c r="A177" s="12" t="n"/>
      <c r="B177" s="38" t="n"/>
      <c r="C177" s="12" t="n"/>
      <c r="D177" s="12" t="n"/>
      <c r="E177" s="12" t="n"/>
      <c r="F177" s="43" t="n"/>
      <c r="G177" s="12" t="n"/>
      <c r="H177" s="12" t="n"/>
      <c r="I177" s="12" t="n"/>
      <c r="J177" s="12" t="n"/>
      <c r="K177" s="12" t="n"/>
      <c r="L177" s="38" t="n"/>
      <c r="M177" s="12" t="n"/>
      <c r="N177" s="12" t="n"/>
      <c r="O177" s="12" t="n"/>
      <c r="P177" s="12" t="n"/>
    </row>
    <row r="178">
      <c r="A178" s="12" t="n"/>
      <c r="B178" s="38" t="n"/>
      <c r="C178" s="12" t="n"/>
      <c r="D178" s="12" t="n"/>
      <c r="E178" s="12" t="n"/>
      <c r="F178" s="43" t="n"/>
      <c r="G178" s="12" t="n"/>
      <c r="H178" s="12" t="n"/>
      <c r="I178" s="12" t="n"/>
      <c r="J178" s="12" t="n"/>
      <c r="K178" s="12" t="n"/>
      <c r="L178" s="38" t="n"/>
      <c r="M178" s="12" t="n"/>
      <c r="N178" s="12" t="n"/>
      <c r="O178" s="12" t="n"/>
      <c r="P178" s="12" t="n"/>
    </row>
    <row r="179">
      <c r="A179" s="12" t="n"/>
      <c r="B179" s="38" t="n"/>
      <c r="C179" s="12" t="n"/>
      <c r="D179" s="12" t="n"/>
      <c r="E179" s="12" t="n"/>
      <c r="F179" s="43" t="n"/>
      <c r="G179" s="12" t="n"/>
      <c r="H179" s="12" t="n"/>
      <c r="I179" s="12" t="n"/>
      <c r="J179" s="12" t="n"/>
      <c r="K179" s="12" t="n"/>
      <c r="L179" s="38" t="n"/>
      <c r="M179" s="12" t="n"/>
      <c r="N179" s="12" t="n"/>
      <c r="O179" s="12" t="n"/>
      <c r="P179" s="12" t="n"/>
    </row>
    <row r="180">
      <c r="A180" s="12" t="n"/>
      <c r="B180" s="38" t="n"/>
      <c r="C180" s="12" t="n"/>
      <c r="D180" s="12" t="n"/>
      <c r="E180" s="12" t="n"/>
      <c r="F180" s="43" t="n"/>
      <c r="G180" s="12" t="n"/>
      <c r="H180" s="12" t="n"/>
      <c r="I180" s="12" t="n"/>
      <c r="J180" s="12" t="n"/>
      <c r="K180" s="12" t="n"/>
      <c r="L180" s="38" t="n"/>
      <c r="M180" s="12" t="n"/>
      <c r="N180" s="12" t="n"/>
      <c r="O180" s="12" t="n"/>
      <c r="P180" s="12" t="n"/>
    </row>
    <row r="181">
      <c r="A181" s="12" t="n"/>
      <c r="B181" s="38" t="n"/>
      <c r="C181" s="12" t="n"/>
      <c r="D181" s="12" t="n"/>
      <c r="E181" s="12" t="n"/>
      <c r="F181" s="43" t="n"/>
      <c r="G181" s="12" t="n"/>
      <c r="H181" s="12" t="n"/>
      <c r="I181" s="12" t="n"/>
      <c r="J181" s="12" t="n"/>
      <c r="K181" s="12" t="n"/>
      <c r="L181" s="38" t="n"/>
      <c r="M181" s="12" t="n"/>
      <c r="N181" s="12" t="n"/>
      <c r="O181" s="12" t="n"/>
      <c r="P181" s="12" t="n"/>
    </row>
    <row r="182">
      <c r="A182" s="12" t="n"/>
      <c r="B182" s="38" t="n"/>
      <c r="C182" s="12" t="n"/>
      <c r="D182" s="12" t="n"/>
      <c r="E182" s="12" t="n"/>
      <c r="F182" s="43" t="n"/>
      <c r="G182" s="12" t="n"/>
      <c r="H182" s="12" t="n"/>
      <c r="I182" s="12" t="n"/>
      <c r="J182" s="12" t="n"/>
      <c r="K182" s="12" t="n"/>
      <c r="L182" s="38" t="n"/>
      <c r="M182" s="12" t="n"/>
      <c r="N182" s="12" t="n"/>
      <c r="O182" s="12" t="n"/>
      <c r="P182" s="12" t="n"/>
    </row>
    <row r="183">
      <c r="A183" s="12" t="n"/>
      <c r="B183" s="38" t="n"/>
      <c r="C183" s="12" t="n"/>
      <c r="D183" s="12" t="n"/>
      <c r="E183" s="12" t="n"/>
      <c r="F183" s="43" t="n"/>
      <c r="G183" s="12" t="n"/>
      <c r="H183" s="12" t="n"/>
      <c r="I183" s="12" t="n"/>
      <c r="J183" s="12" t="n"/>
      <c r="K183" s="12" t="n"/>
      <c r="L183" s="38" t="n"/>
      <c r="M183" s="12" t="n"/>
      <c r="N183" s="12" t="n"/>
      <c r="O183" s="12" t="n"/>
      <c r="P183" s="12" t="n"/>
    </row>
    <row r="184">
      <c r="A184" s="12" t="n"/>
      <c r="B184" s="38" t="n"/>
      <c r="C184" s="12" t="n"/>
      <c r="D184" s="12" t="n"/>
      <c r="E184" s="12" t="n"/>
      <c r="F184" s="43" t="n"/>
      <c r="G184" s="12" t="n"/>
      <c r="H184" s="12" t="n"/>
      <c r="I184" s="12" t="n"/>
      <c r="J184" s="12" t="n"/>
      <c r="K184" s="12" t="n"/>
      <c r="L184" s="38" t="n"/>
      <c r="M184" s="12" t="n"/>
      <c r="N184" s="12" t="n"/>
      <c r="O184" s="12" t="n"/>
      <c r="P184" s="12" t="n"/>
    </row>
    <row r="185">
      <c r="A185" s="12" t="n"/>
      <c r="B185" s="38" t="n"/>
      <c r="C185" s="12" t="n"/>
      <c r="D185" s="12" t="n"/>
      <c r="E185" s="12" t="n"/>
      <c r="F185" s="43" t="n"/>
      <c r="G185" s="12" t="n"/>
      <c r="H185" s="12" t="n"/>
      <c r="I185" s="12" t="n"/>
      <c r="J185" s="12" t="n"/>
      <c r="K185" s="12" t="n"/>
      <c r="L185" s="38" t="n"/>
      <c r="M185" s="12" t="n"/>
      <c r="N185" s="12" t="n"/>
      <c r="O185" s="12" t="n"/>
      <c r="P185" s="12" t="n"/>
    </row>
    <row r="186">
      <c r="A186" s="12" t="n"/>
      <c r="B186" s="38" t="n"/>
      <c r="C186" s="12" t="n"/>
      <c r="D186" s="12" t="n"/>
      <c r="E186" s="12" t="n"/>
      <c r="F186" s="43" t="n"/>
      <c r="G186" s="12" t="n"/>
      <c r="H186" s="12" t="n"/>
      <c r="I186" s="12" t="n"/>
      <c r="J186" s="12" t="n"/>
      <c r="K186" s="12" t="n"/>
      <c r="L186" s="38" t="n"/>
      <c r="M186" s="12" t="n"/>
      <c r="N186" s="12" t="n"/>
      <c r="O186" s="12" t="n"/>
      <c r="P186" s="12" t="n"/>
    </row>
    <row r="187">
      <c r="A187" s="12" t="n"/>
      <c r="B187" s="38" t="n"/>
      <c r="C187" s="12" t="n"/>
      <c r="D187" s="12" t="n"/>
      <c r="E187" s="12" t="n"/>
      <c r="F187" s="43" t="n"/>
      <c r="G187" s="12" t="n"/>
      <c r="H187" s="12" t="n"/>
      <c r="I187" s="12" t="n"/>
      <c r="J187" s="12" t="n"/>
      <c r="K187" s="12" t="n"/>
      <c r="L187" s="38" t="n"/>
      <c r="M187" s="12" t="n"/>
      <c r="N187" s="12" t="n"/>
      <c r="O187" s="12" t="n"/>
      <c r="P187" s="12" t="n"/>
    </row>
    <row r="188">
      <c r="A188" s="12" t="n"/>
      <c r="B188" s="38" t="n"/>
      <c r="C188" s="12" t="n"/>
      <c r="D188" s="12" t="n"/>
      <c r="E188" s="12" t="n"/>
      <c r="F188" s="43" t="n"/>
      <c r="G188" s="12" t="n"/>
      <c r="H188" s="12" t="n"/>
      <c r="I188" s="12" t="n"/>
      <c r="J188" s="12" t="n"/>
      <c r="K188" s="12" t="n"/>
      <c r="L188" s="38" t="n"/>
      <c r="M188" s="12" t="n"/>
      <c r="N188" s="12" t="n"/>
      <c r="O188" s="12" t="n"/>
      <c r="P188" s="12" t="n"/>
    </row>
    <row r="189">
      <c r="A189" s="12" t="n"/>
      <c r="B189" s="38" t="n"/>
      <c r="C189" s="12" t="n"/>
      <c r="D189" s="12" t="n"/>
      <c r="E189" s="12" t="n"/>
      <c r="F189" s="43" t="n"/>
      <c r="G189" s="12" t="n"/>
      <c r="H189" s="12" t="n"/>
      <c r="I189" s="12" t="n"/>
      <c r="J189" s="12" t="n"/>
      <c r="K189" s="12" t="n"/>
      <c r="L189" s="38" t="n"/>
      <c r="M189" s="12" t="n"/>
      <c r="N189" s="12" t="n"/>
      <c r="O189" s="12" t="n"/>
      <c r="P189" s="12" t="n"/>
    </row>
    <row r="190">
      <c r="A190" s="12" t="n"/>
      <c r="B190" s="38" t="n"/>
      <c r="C190" s="12" t="n"/>
      <c r="D190" s="12" t="n"/>
      <c r="E190" s="12" t="n"/>
      <c r="F190" s="43" t="n"/>
      <c r="G190" s="12" t="n"/>
      <c r="H190" s="12" t="n"/>
      <c r="I190" s="12" t="n"/>
      <c r="J190" s="12" t="n"/>
      <c r="K190" s="12" t="n"/>
      <c r="L190" s="38" t="n"/>
      <c r="M190" s="12" t="n"/>
      <c r="N190" s="12" t="n"/>
      <c r="O190" s="12" t="n"/>
      <c r="P190" s="12" t="n"/>
    </row>
    <row r="191">
      <c r="A191" s="12" t="n"/>
      <c r="B191" s="38" t="n"/>
      <c r="C191" s="12" t="n"/>
      <c r="D191" s="12" t="n"/>
      <c r="E191" s="12" t="n"/>
      <c r="F191" s="43" t="n"/>
      <c r="G191" s="12" t="n"/>
      <c r="H191" s="12" t="n"/>
      <c r="I191" s="12" t="n"/>
      <c r="J191" s="12" t="n"/>
      <c r="K191" s="12" t="n"/>
      <c r="L191" s="38" t="n"/>
      <c r="M191" s="12" t="n"/>
      <c r="N191" s="12" t="n"/>
      <c r="O191" s="12" t="n"/>
      <c r="P191" s="12" t="n"/>
    </row>
    <row r="192">
      <c r="A192" s="12" t="n"/>
      <c r="B192" s="38" t="n"/>
      <c r="C192" s="12" t="n"/>
      <c r="D192" s="12" t="n"/>
      <c r="E192" s="12" t="n"/>
      <c r="F192" s="43" t="n"/>
      <c r="G192" s="12" t="n"/>
      <c r="H192" s="12" t="n"/>
      <c r="I192" s="12" t="n"/>
      <c r="J192" s="12" t="n"/>
      <c r="K192" s="12" t="n"/>
      <c r="L192" s="38" t="n"/>
      <c r="M192" s="12" t="n"/>
      <c r="N192" s="12" t="n"/>
      <c r="O192" s="12" t="n"/>
      <c r="P192" s="12" t="n"/>
    </row>
    <row r="193">
      <c r="A193" s="12" t="n"/>
      <c r="B193" s="38" t="n"/>
      <c r="C193" s="12" t="n"/>
      <c r="D193" s="12" t="n"/>
      <c r="E193" s="12" t="n"/>
      <c r="F193" s="43" t="n"/>
      <c r="G193" s="12" t="n"/>
      <c r="H193" s="12" t="n"/>
      <c r="I193" s="12" t="n"/>
      <c r="J193" s="12" t="n"/>
      <c r="K193" s="12" t="n"/>
      <c r="L193" s="38" t="n"/>
      <c r="M193" s="12" t="n"/>
      <c r="N193" s="12" t="n"/>
      <c r="O193" s="12" t="n"/>
      <c r="P193" s="12" t="n"/>
    </row>
    <row r="194">
      <c r="A194" s="12" t="n"/>
      <c r="B194" s="38" t="n"/>
      <c r="C194" s="12" t="n"/>
      <c r="D194" s="12" t="n"/>
      <c r="E194" s="12" t="n"/>
      <c r="F194" s="43" t="n"/>
      <c r="G194" s="12" t="n"/>
      <c r="H194" s="12" t="n"/>
      <c r="I194" s="12" t="n"/>
      <c r="J194" s="12" t="n"/>
      <c r="K194" s="12" t="n"/>
      <c r="L194" s="38" t="n"/>
      <c r="M194" s="12" t="n"/>
      <c r="N194" s="12" t="n"/>
      <c r="O194" s="12" t="n"/>
      <c r="P194" s="12" t="n"/>
    </row>
    <row r="195">
      <c r="A195" s="12" t="n"/>
      <c r="B195" s="38" t="n"/>
      <c r="C195" s="12" t="n"/>
      <c r="D195" s="12" t="n"/>
      <c r="E195" s="12" t="n"/>
      <c r="F195" s="43" t="n"/>
      <c r="G195" s="12" t="n"/>
      <c r="H195" s="12" t="n"/>
      <c r="I195" s="12" t="n"/>
      <c r="J195" s="12" t="n"/>
      <c r="K195" s="12" t="n"/>
      <c r="L195" s="38" t="n"/>
      <c r="M195" s="12" t="n"/>
      <c r="N195" s="12" t="n"/>
      <c r="O195" s="12" t="n"/>
      <c r="P195" s="12" t="n"/>
    </row>
    <row r="196">
      <c r="A196" s="12" t="n"/>
      <c r="B196" s="38" t="n"/>
      <c r="C196" s="12" t="n"/>
      <c r="D196" s="12" t="n"/>
      <c r="E196" s="12" t="n"/>
      <c r="F196" s="43" t="n"/>
      <c r="G196" s="12" t="n"/>
      <c r="H196" s="12" t="n"/>
      <c r="I196" s="12" t="n"/>
      <c r="J196" s="12" t="n"/>
      <c r="K196" s="12" t="n"/>
      <c r="L196" s="38" t="n"/>
      <c r="M196" s="12" t="n"/>
      <c r="N196" s="12" t="n"/>
      <c r="O196" s="12" t="n"/>
      <c r="P196" s="12" t="n"/>
    </row>
    <row r="197">
      <c r="A197" s="12" t="n"/>
      <c r="B197" s="38" t="n"/>
      <c r="C197" s="12" t="n"/>
      <c r="D197" s="12" t="n"/>
      <c r="E197" s="12" t="n"/>
      <c r="F197" s="43" t="n"/>
      <c r="G197" s="12" t="n"/>
      <c r="H197" s="12" t="n"/>
      <c r="I197" s="12" t="n"/>
      <c r="J197" s="12" t="n"/>
      <c r="K197" s="12" t="n"/>
      <c r="L197" s="38" t="n"/>
      <c r="M197" s="12" t="n"/>
      <c r="N197" s="12" t="n"/>
      <c r="O197" s="12" t="n"/>
      <c r="P197" s="12" t="n"/>
    </row>
    <row r="198">
      <c r="A198" s="12" t="n"/>
      <c r="B198" s="38" t="n"/>
      <c r="C198" s="12" t="n"/>
      <c r="D198" s="12" t="n"/>
      <c r="E198" s="12" t="n"/>
      <c r="F198" s="43" t="n"/>
      <c r="G198" s="12" t="n"/>
      <c r="H198" s="12" t="n"/>
      <c r="I198" s="12" t="n"/>
      <c r="J198" s="12" t="n"/>
      <c r="K198" s="12" t="n"/>
      <c r="L198" s="38" t="n"/>
      <c r="M198" s="12" t="n"/>
      <c r="N198" s="12" t="n"/>
      <c r="O198" s="12" t="n"/>
      <c r="P198" s="12" t="n"/>
    </row>
    <row r="199">
      <c r="A199" s="12" t="n"/>
      <c r="B199" s="38" t="n"/>
      <c r="C199" s="12" t="n"/>
      <c r="D199" s="12" t="n"/>
      <c r="E199" s="12" t="n"/>
      <c r="F199" s="43" t="n"/>
      <c r="G199" s="12" t="n"/>
      <c r="H199" s="12" t="n"/>
      <c r="I199" s="12" t="n"/>
      <c r="J199" s="12" t="n"/>
      <c r="K199" s="12" t="n"/>
      <c r="L199" s="38" t="n"/>
      <c r="M199" s="12" t="n"/>
      <c r="N199" s="12" t="n"/>
      <c r="O199" s="12" t="n"/>
      <c r="P199" s="12" t="n"/>
    </row>
    <row r="200">
      <c r="A200" s="12" t="n"/>
      <c r="B200" s="38" t="n"/>
      <c r="C200" s="12" t="n"/>
      <c r="D200" s="12" t="n"/>
      <c r="E200" s="12" t="n"/>
      <c r="F200" s="43" t="n"/>
      <c r="G200" s="12" t="n"/>
      <c r="H200" s="12" t="n"/>
      <c r="I200" s="12" t="n"/>
      <c r="J200" s="12" t="n"/>
      <c r="K200" s="12" t="n"/>
      <c r="L200" s="38" t="n"/>
      <c r="M200" s="12" t="n"/>
      <c r="N200" s="12" t="n"/>
      <c r="O200" s="12" t="n"/>
      <c r="P200" s="12" t="n"/>
    </row>
    <row r="201">
      <c r="A201" s="12" t="n"/>
      <c r="B201" s="38" t="n"/>
      <c r="C201" s="12" t="n"/>
      <c r="D201" s="12" t="n"/>
      <c r="E201" s="12" t="n"/>
      <c r="F201" s="43" t="n"/>
      <c r="G201" s="12" t="n"/>
      <c r="H201" s="12" t="n"/>
      <c r="I201" s="12" t="n"/>
      <c r="J201" s="12" t="n"/>
      <c r="K201" s="12" t="n"/>
      <c r="L201" s="38" t="n"/>
      <c r="M201" s="12" t="n"/>
      <c r="N201" s="12" t="n"/>
      <c r="O201" s="12" t="n"/>
      <c r="P201" s="12" t="n"/>
    </row>
    <row r="202">
      <c r="A202" s="12" t="n"/>
      <c r="B202" s="38" t="n"/>
      <c r="C202" s="12" t="n"/>
      <c r="D202" s="12" t="n"/>
      <c r="E202" s="12" t="n"/>
      <c r="F202" s="43" t="n"/>
      <c r="G202" s="12" t="n"/>
      <c r="H202" s="12" t="n"/>
      <c r="I202" s="12" t="n"/>
      <c r="J202" s="12" t="n"/>
      <c r="K202" s="12" t="n"/>
      <c r="L202" s="38" t="n"/>
      <c r="M202" s="12" t="n"/>
      <c r="N202" s="12" t="n"/>
      <c r="O202" s="12" t="n"/>
      <c r="P202" s="12" t="n"/>
    </row>
    <row r="203">
      <c r="A203" s="12" t="n"/>
      <c r="B203" s="38" t="n"/>
      <c r="C203" s="12" t="n"/>
      <c r="D203" s="12" t="n"/>
      <c r="E203" s="12" t="n"/>
      <c r="F203" s="43" t="n"/>
      <c r="G203" s="12" t="n"/>
      <c r="H203" s="12" t="n"/>
      <c r="I203" s="12" t="n"/>
      <c r="J203" s="12" t="n"/>
      <c r="K203" s="12" t="n"/>
      <c r="L203" s="38" t="n"/>
      <c r="M203" s="12" t="n"/>
      <c r="N203" s="12" t="n"/>
      <c r="O203" s="12" t="n"/>
      <c r="P203" s="12" t="n"/>
    </row>
    <row r="204">
      <c r="A204" s="12" t="n"/>
      <c r="B204" s="38" t="n"/>
      <c r="C204" s="12" t="n"/>
      <c r="D204" s="12" t="n"/>
      <c r="E204" s="12" t="n"/>
      <c r="F204" s="43" t="n"/>
      <c r="G204" s="12" t="n"/>
      <c r="H204" s="12" t="n"/>
      <c r="I204" s="12" t="n"/>
      <c r="J204" s="12" t="n"/>
      <c r="K204" s="12" t="n"/>
      <c r="L204" s="38" t="n"/>
      <c r="M204" s="12" t="n"/>
      <c r="N204" s="12" t="n"/>
      <c r="O204" s="12" t="n"/>
      <c r="P204" s="12" t="n"/>
    </row>
    <row r="205">
      <c r="A205" s="12" t="n"/>
      <c r="B205" s="38" t="n"/>
      <c r="C205" s="12" t="n"/>
      <c r="D205" s="12" t="n"/>
      <c r="E205" s="12" t="n"/>
      <c r="F205" s="43" t="n"/>
      <c r="G205" s="12" t="n"/>
      <c r="H205" s="12" t="n"/>
      <c r="I205" s="12" t="n"/>
      <c r="J205" s="12" t="n"/>
      <c r="K205" s="12" t="n"/>
      <c r="L205" s="38" t="n"/>
      <c r="M205" s="12" t="n"/>
      <c r="N205" s="12" t="n"/>
      <c r="O205" s="12" t="n"/>
      <c r="P205" s="12" t="n"/>
    </row>
    <row r="206">
      <c r="A206" s="12" t="n"/>
      <c r="B206" s="38" t="n"/>
      <c r="C206" s="12" t="n"/>
      <c r="D206" s="12" t="n"/>
      <c r="E206" s="12" t="n"/>
      <c r="F206" s="43" t="n"/>
      <c r="G206" s="12" t="n"/>
      <c r="H206" s="12" t="n"/>
      <c r="I206" s="12" t="n"/>
      <c r="J206" s="12" t="n"/>
      <c r="K206" s="12" t="n"/>
      <c r="L206" s="38" t="n"/>
      <c r="M206" s="12" t="n"/>
      <c r="N206" s="12" t="n"/>
      <c r="O206" s="12" t="n"/>
      <c r="P206" s="12" t="n"/>
    </row>
    <row r="207">
      <c r="A207" s="12" t="n"/>
      <c r="B207" s="38" t="n"/>
      <c r="C207" s="12" t="n"/>
      <c r="D207" s="12" t="n"/>
      <c r="E207" s="12" t="n"/>
      <c r="F207" s="43" t="n"/>
      <c r="G207" s="12" t="n"/>
      <c r="H207" s="12" t="n"/>
      <c r="I207" s="12" t="n"/>
      <c r="J207" s="12" t="n"/>
      <c r="K207" s="12" t="n"/>
      <c r="L207" s="38" t="n"/>
      <c r="M207" s="12" t="n"/>
      <c r="N207" s="12" t="n"/>
      <c r="O207" s="12" t="n"/>
      <c r="P207" s="12" t="n"/>
    </row>
    <row r="208">
      <c r="A208" s="12" t="n"/>
      <c r="B208" s="38" t="n"/>
      <c r="C208" s="12" t="n"/>
      <c r="D208" s="12" t="n"/>
      <c r="E208" s="12" t="n"/>
      <c r="F208" s="43" t="n"/>
      <c r="G208" s="12" t="n"/>
      <c r="H208" s="12" t="n"/>
      <c r="I208" s="12" t="n"/>
      <c r="J208" s="12" t="n"/>
      <c r="K208" s="12" t="n"/>
      <c r="L208" s="38" t="n"/>
      <c r="M208" s="12" t="n"/>
      <c r="N208" s="12" t="n"/>
      <c r="O208" s="12" t="n"/>
      <c r="P208" s="12" t="n"/>
    </row>
    <row r="209">
      <c r="A209" s="12" t="n"/>
      <c r="B209" s="38" t="n"/>
      <c r="C209" s="12" t="n"/>
      <c r="D209" s="12" t="n"/>
      <c r="E209" s="12" t="n"/>
      <c r="F209" s="43" t="n"/>
      <c r="G209" s="12" t="n"/>
      <c r="H209" s="12" t="n"/>
      <c r="I209" s="12" t="n"/>
      <c r="J209" s="12" t="n"/>
      <c r="K209" s="12" t="n"/>
      <c r="L209" s="38" t="n"/>
      <c r="M209" s="12" t="n"/>
      <c r="N209" s="12" t="n"/>
      <c r="O209" s="12" t="n"/>
      <c r="P209" s="12" t="n"/>
    </row>
    <row r="210">
      <c r="A210" s="12" t="n"/>
      <c r="B210" s="38" t="n"/>
      <c r="C210" s="12" t="n"/>
      <c r="D210" s="12" t="n"/>
      <c r="E210" s="12" t="n"/>
      <c r="F210" s="43" t="n"/>
      <c r="G210" s="12" t="n"/>
      <c r="H210" s="12" t="n"/>
      <c r="I210" s="12" t="n"/>
      <c r="J210" s="12" t="n"/>
      <c r="K210" s="12" t="n"/>
      <c r="L210" s="38" t="n"/>
      <c r="M210" s="12" t="n"/>
      <c r="N210" s="12" t="n"/>
      <c r="O210" s="12" t="n"/>
      <c r="P210" s="12" t="n"/>
    </row>
    <row r="211">
      <c r="A211" s="12" t="n"/>
      <c r="B211" s="38" t="n"/>
      <c r="C211" s="12" t="n"/>
      <c r="D211" s="12" t="n"/>
      <c r="E211" s="12" t="n"/>
      <c r="F211" s="43" t="n"/>
      <c r="G211" s="12" t="n"/>
      <c r="H211" s="12" t="n"/>
      <c r="I211" s="12" t="n"/>
      <c r="J211" s="12" t="n"/>
      <c r="K211" s="12" t="n"/>
      <c r="L211" s="38" t="n"/>
      <c r="M211" s="12" t="n"/>
      <c r="N211" s="12" t="n"/>
      <c r="O211" s="12" t="n"/>
      <c r="P211" s="12" t="n"/>
    </row>
    <row r="212">
      <c r="A212" s="12" t="n"/>
      <c r="B212" s="38" t="n"/>
      <c r="C212" s="12" t="n"/>
      <c r="D212" s="12" t="n"/>
      <c r="E212" s="12" t="n"/>
      <c r="F212" s="43" t="n"/>
      <c r="G212" s="12" t="n"/>
      <c r="H212" s="12" t="n"/>
      <c r="I212" s="12" t="n"/>
      <c r="J212" s="12" t="n"/>
      <c r="K212" s="12" t="n"/>
      <c r="L212" s="38" t="n"/>
      <c r="M212" s="12" t="n"/>
      <c r="N212" s="12" t="n"/>
      <c r="O212" s="12" t="n"/>
      <c r="P212" s="12" t="n"/>
    </row>
    <row r="213">
      <c r="A213" s="12" t="n"/>
      <c r="B213" s="38" t="n"/>
      <c r="C213" s="12" t="n"/>
      <c r="D213" s="12" t="n"/>
      <c r="E213" s="12" t="n"/>
      <c r="F213" s="43" t="n"/>
      <c r="G213" s="12" t="n"/>
      <c r="H213" s="12" t="n"/>
      <c r="I213" s="12" t="n"/>
      <c r="J213" s="12" t="n"/>
      <c r="K213" s="12" t="n"/>
      <c r="L213" s="38" t="n"/>
      <c r="M213" s="12" t="n"/>
      <c r="N213" s="12" t="n"/>
      <c r="O213" s="12" t="n"/>
      <c r="P213" s="12" t="n"/>
    </row>
    <row r="214">
      <c r="A214" s="12" t="n"/>
      <c r="B214" s="38" t="n"/>
      <c r="C214" s="12" t="n"/>
      <c r="D214" s="12" t="n"/>
      <c r="E214" s="12" t="n"/>
      <c r="F214" s="43" t="n"/>
      <c r="G214" s="12" t="n"/>
      <c r="H214" s="12" t="n"/>
      <c r="I214" s="12" t="n"/>
      <c r="J214" s="12" t="n"/>
      <c r="K214" s="12" t="n"/>
      <c r="L214" s="38" t="n"/>
      <c r="M214" s="12" t="n"/>
      <c r="N214" s="12" t="n"/>
      <c r="O214" s="12" t="n"/>
      <c r="P214" s="12" t="n"/>
    </row>
    <row r="215">
      <c r="A215" s="12" t="n"/>
      <c r="B215" s="38" t="n"/>
      <c r="C215" s="12" t="n"/>
      <c r="D215" s="12" t="n"/>
      <c r="E215" s="12" t="n"/>
      <c r="F215" s="43" t="n"/>
      <c r="G215" s="12" t="n"/>
      <c r="H215" s="12" t="n"/>
      <c r="I215" s="12" t="n"/>
      <c r="J215" s="12" t="n"/>
      <c r="K215" s="12" t="n"/>
      <c r="L215" s="38" t="n"/>
      <c r="M215" s="12" t="n"/>
      <c r="N215" s="12" t="n"/>
      <c r="O215" s="12" t="n"/>
      <c r="P215" s="12" t="n"/>
    </row>
    <row r="216">
      <c r="A216" s="12" t="n"/>
      <c r="B216" s="38" t="n"/>
      <c r="C216" s="12" t="n"/>
      <c r="D216" s="12" t="n"/>
      <c r="E216" s="12" t="n"/>
      <c r="F216" s="43" t="n"/>
      <c r="G216" s="12" t="n"/>
      <c r="H216" s="12" t="n"/>
      <c r="I216" s="12" t="n"/>
      <c r="J216" s="12" t="n"/>
      <c r="K216" s="12" t="n"/>
      <c r="L216" s="38" t="n"/>
      <c r="M216" s="12" t="n"/>
      <c r="N216" s="12" t="n"/>
      <c r="O216" s="12" t="n"/>
      <c r="P216" s="12" t="n"/>
    </row>
    <row r="217">
      <c r="A217" s="12" t="n"/>
      <c r="B217" s="38" t="n"/>
      <c r="C217" s="12" t="n"/>
      <c r="D217" s="12" t="n"/>
      <c r="E217" s="12" t="n"/>
      <c r="F217" s="43" t="n"/>
      <c r="G217" s="12" t="n"/>
      <c r="H217" s="12" t="n"/>
      <c r="I217" s="12" t="n"/>
      <c r="J217" s="12" t="n"/>
      <c r="K217" s="12" t="n"/>
      <c r="L217" s="38" t="n"/>
      <c r="M217" s="12" t="n"/>
      <c r="N217" s="12" t="n"/>
      <c r="O217" s="12" t="n"/>
      <c r="P217" s="12" t="n"/>
    </row>
    <row r="218">
      <c r="A218" s="12" t="n"/>
      <c r="B218" s="38" t="n"/>
      <c r="C218" s="12" t="n"/>
      <c r="D218" s="12" t="n"/>
      <c r="E218" s="12" t="n"/>
      <c r="F218" s="43" t="n"/>
      <c r="G218" s="12" t="n"/>
      <c r="H218" s="12" t="n"/>
      <c r="I218" s="12" t="n"/>
      <c r="J218" s="12" t="n"/>
      <c r="K218" s="12" t="n"/>
      <c r="L218" s="38" t="n"/>
      <c r="M218" s="12" t="n"/>
      <c r="N218" s="12" t="n"/>
      <c r="O218" s="12" t="n"/>
      <c r="P218" s="12" t="n"/>
    </row>
    <row r="219">
      <c r="A219" s="12" t="n"/>
      <c r="B219" s="38" t="n"/>
      <c r="C219" s="12" t="n"/>
      <c r="D219" s="12" t="n"/>
      <c r="E219" s="12" t="n"/>
      <c r="F219" s="43" t="n"/>
      <c r="G219" s="12" t="n"/>
      <c r="H219" s="12" t="n"/>
      <c r="I219" s="12" t="n"/>
      <c r="J219" s="12" t="n"/>
      <c r="K219" s="12" t="n"/>
      <c r="L219" s="38" t="n"/>
      <c r="M219" s="12" t="n"/>
      <c r="N219" s="12" t="n"/>
      <c r="O219" s="12" t="n"/>
      <c r="P219" s="12" t="n"/>
    </row>
    <row r="220">
      <c r="A220" s="12" t="n"/>
      <c r="B220" s="38" t="n"/>
      <c r="C220" s="12" t="n"/>
      <c r="D220" s="12" t="n"/>
      <c r="E220" s="12" t="n"/>
      <c r="F220" s="43" t="n"/>
      <c r="G220" s="12" t="n"/>
      <c r="H220" s="12" t="n"/>
      <c r="I220" s="12" t="n"/>
      <c r="J220" s="12" t="n"/>
      <c r="K220" s="12" t="n"/>
      <c r="L220" s="38" t="n"/>
      <c r="M220" s="12" t="n"/>
      <c r="N220" s="12" t="n"/>
      <c r="O220" s="12" t="n"/>
      <c r="P220" s="12" t="n"/>
    </row>
    <row r="221">
      <c r="A221" s="12" t="n"/>
      <c r="B221" s="38" t="n"/>
      <c r="C221" s="12" t="n"/>
      <c r="D221" s="12" t="n"/>
      <c r="E221" s="12" t="n"/>
      <c r="F221" s="43" t="n"/>
      <c r="G221" s="12" t="n"/>
      <c r="H221" s="12" t="n"/>
      <c r="I221" s="12" t="n"/>
      <c r="J221" s="12" t="n"/>
      <c r="K221" s="12" t="n"/>
      <c r="L221" s="38" t="n"/>
      <c r="M221" s="12" t="n"/>
      <c r="N221" s="12" t="n"/>
      <c r="O221" s="12" t="n"/>
      <c r="P221" s="12" t="n"/>
    </row>
    <row r="222">
      <c r="A222" s="12" t="n"/>
      <c r="B222" s="38" t="n"/>
      <c r="C222" s="12" t="n"/>
      <c r="D222" s="12" t="n"/>
      <c r="E222" s="12" t="n"/>
      <c r="F222" s="43" t="n"/>
      <c r="G222" s="12" t="n"/>
      <c r="H222" s="12" t="n"/>
      <c r="I222" s="12" t="n"/>
      <c r="J222" s="12" t="n"/>
      <c r="K222" s="12" t="n"/>
      <c r="L222" s="38" t="n"/>
      <c r="M222" s="12" t="n"/>
      <c r="N222" s="12" t="n"/>
      <c r="O222" s="12" t="n"/>
      <c r="P222" s="12" t="n"/>
    </row>
    <row r="223">
      <c r="A223" s="12" t="n"/>
      <c r="B223" s="38" t="n"/>
      <c r="C223" s="12" t="n"/>
      <c r="D223" s="12" t="n"/>
      <c r="E223" s="12" t="n"/>
      <c r="F223" s="43" t="n"/>
      <c r="G223" s="12" t="n"/>
      <c r="H223" s="12" t="n"/>
      <c r="I223" s="12" t="n"/>
      <c r="J223" s="12" t="n"/>
      <c r="K223" s="12" t="n"/>
      <c r="L223" s="38" t="n"/>
      <c r="M223" s="12" t="n"/>
      <c r="N223" s="12" t="n"/>
      <c r="O223" s="12" t="n"/>
      <c r="P223" s="12" t="n"/>
    </row>
    <row r="224">
      <c r="A224" s="12" t="n"/>
      <c r="B224" s="38" t="n"/>
      <c r="C224" s="12" t="n"/>
      <c r="D224" s="12" t="n"/>
      <c r="E224" s="12" t="n"/>
      <c r="F224" s="43" t="n"/>
      <c r="G224" s="12" t="n"/>
      <c r="H224" s="12" t="n"/>
      <c r="I224" s="12" t="n"/>
      <c r="J224" s="12" t="n"/>
      <c r="K224" s="12" t="n"/>
      <c r="L224" s="38" t="n"/>
      <c r="M224" s="12" t="n"/>
      <c r="N224" s="12" t="n"/>
      <c r="O224" s="12" t="n"/>
      <c r="P224" s="12" t="n"/>
    </row>
    <row r="225">
      <c r="A225" s="12" t="n"/>
      <c r="B225" s="38" t="n"/>
      <c r="C225" s="12" t="n"/>
      <c r="D225" s="12" t="n"/>
      <c r="E225" s="12" t="n"/>
      <c r="F225" s="43" t="n"/>
      <c r="G225" s="12" t="n"/>
      <c r="H225" s="12" t="n"/>
      <c r="I225" s="12" t="n"/>
      <c r="J225" s="12" t="n"/>
      <c r="K225" s="12" t="n"/>
      <c r="L225" s="38" t="n"/>
      <c r="M225" s="12" t="n"/>
      <c r="N225" s="12" t="n"/>
      <c r="O225" s="12" t="n"/>
      <c r="P225" s="12" t="n"/>
    </row>
    <row r="226">
      <c r="A226" s="12" t="n"/>
      <c r="B226" s="38" t="n"/>
      <c r="C226" s="12" t="n"/>
      <c r="D226" s="12" t="n"/>
      <c r="E226" s="12" t="n"/>
      <c r="F226" s="43" t="n"/>
      <c r="G226" s="12" t="n"/>
      <c r="H226" s="12" t="n"/>
      <c r="I226" s="12" t="n"/>
      <c r="J226" s="12" t="n"/>
      <c r="K226" s="12" t="n"/>
      <c r="L226" s="38" t="n"/>
      <c r="M226" s="12" t="n"/>
      <c r="N226" s="12" t="n"/>
      <c r="O226" s="12" t="n"/>
      <c r="P226" s="12" t="n"/>
    </row>
    <row r="227">
      <c r="A227" s="12" t="n"/>
      <c r="B227" s="38" t="n"/>
      <c r="C227" s="12" t="n"/>
      <c r="D227" s="12" t="n"/>
      <c r="E227" s="12" t="n"/>
      <c r="F227" s="43" t="n"/>
      <c r="G227" s="12" t="n"/>
      <c r="H227" s="12" t="n"/>
      <c r="I227" s="12" t="n"/>
      <c r="J227" s="12" t="n"/>
      <c r="K227" s="12" t="n"/>
      <c r="L227" s="38" t="n"/>
      <c r="M227" s="12" t="n"/>
      <c r="N227" s="12" t="n"/>
      <c r="O227" s="12" t="n"/>
      <c r="P227" s="12" t="n"/>
    </row>
    <row r="228">
      <c r="A228" s="12" t="n"/>
      <c r="B228" s="38" t="n"/>
      <c r="C228" s="12" t="n"/>
      <c r="D228" s="12" t="n"/>
      <c r="E228" s="12" t="n"/>
      <c r="F228" s="43" t="n"/>
      <c r="G228" s="12" t="n"/>
      <c r="H228" s="12" t="n"/>
      <c r="I228" s="12" t="n"/>
      <c r="J228" s="12" t="n"/>
      <c r="K228" s="12" t="n"/>
      <c r="L228" s="38" t="n"/>
      <c r="M228" s="12" t="n"/>
      <c r="N228" s="12" t="n"/>
      <c r="O228" s="12" t="n"/>
      <c r="P228" s="12" t="n"/>
    </row>
    <row r="229">
      <c r="A229" s="12" t="n"/>
      <c r="B229" s="38" t="n"/>
      <c r="C229" s="12" t="n"/>
      <c r="D229" s="12" t="n"/>
      <c r="E229" s="12" t="n"/>
      <c r="F229" s="43" t="n"/>
      <c r="G229" s="12" t="n"/>
      <c r="H229" s="12" t="n"/>
      <c r="I229" s="12" t="n"/>
      <c r="J229" s="12" t="n"/>
      <c r="K229" s="12" t="n"/>
      <c r="L229" s="38" t="n"/>
      <c r="M229" s="12" t="n"/>
      <c r="N229" s="12" t="n"/>
      <c r="O229" s="12" t="n"/>
      <c r="P229" s="12" t="n"/>
    </row>
    <row r="230">
      <c r="A230" s="12" t="n"/>
      <c r="B230" s="38" t="n"/>
      <c r="C230" s="12" t="n"/>
      <c r="D230" s="12" t="n"/>
      <c r="E230" s="12" t="n"/>
      <c r="F230" s="43" t="n"/>
      <c r="G230" s="12" t="n"/>
      <c r="H230" s="12" t="n"/>
      <c r="I230" s="12" t="n"/>
      <c r="J230" s="12" t="n"/>
      <c r="K230" s="12" t="n"/>
      <c r="L230" s="38" t="n"/>
      <c r="M230" s="12" t="n"/>
      <c r="N230" s="12" t="n"/>
      <c r="O230" s="12" t="n"/>
      <c r="P230" s="12" t="n"/>
    </row>
    <row r="231">
      <c r="A231" s="12" t="n"/>
      <c r="B231" s="38" t="n"/>
      <c r="C231" s="12" t="n"/>
      <c r="D231" s="12" t="n"/>
      <c r="E231" s="12" t="n"/>
      <c r="F231" s="43" t="n"/>
      <c r="G231" s="12" t="n"/>
      <c r="H231" s="12" t="n"/>
      <c r="I231" s="12" t="n"/>
      <c r="J231" s="12" t="n"/>
      <c r="K231" s="12" t="n"/>
      <c r="L231" s="38" t="n"/>
      <c r="M231" s="12" t="n"/>
      <c r="N231" s="12" t="n"/>
      <c r="O231" s="12" t="n"/>
      <c r="P231" s="12" t="n"/>
    </row>
    <row r="232">
      <c r="A232" s="12" t="n"/>
      <c r="B232" s="38" t="n"/>
      <c r="C232" s="12" t="n"/>
      <c r="D232" s="12" t="n"/>
      <c r="E232" s="12" t="n"/>
      <c r="F232" s="43" t="n"/>
      <c r="G232" s="12" t="n"/>
      <c r="H232" s="12" t="n"/>
      <c r="I232" s="12" t="n"/>
      <c r="J232" s="12" t="n"/>
      <c r="K232" s="12" t="n"/>
      <c r="L232" s="38" t="n"/>
      <c r="M232" s="12" t="n"/>
      <c r="N232" s="12" t="n"/>
      <c r="O232" s="12" t="n"/>
      <c r="P232" s="12" t="n"/>
    </row>
    <row r="233">
      <c r="A233" s="12" t="n"/>
      <c r="B233" s="38" t="n"/>
      <c r="C233" s="12" t="n"/>
      <c r="D233" s="12" t="n"/>
      <c r="E233" s="12" t="n"/>
      <c r="F233" s="43" t="n"/>
      <c r="G233" s="12" t="n"/>
      <c r="H233" s="12" t="n"/>
      <c r="I233" s="12" t="n"/>
      <c r="J233" s="12" t="n"/>
      <c r="K233" s="12" t="n"/>
      <c r="L233" s="38" t="n"/>
      <c r="M233" s="12" t="n"/>
      <c r="N233" s="12" t="n"/>
      <c r="O233" s="12" t="n"/>
      <c r="P233" s="12" t="n"/>
    </row>
    <row r="234">
      <c r="A234" s="12" t="n"/>
      <c r="B234" s="38" t="n"/>
      <c r="C234" s="12" t="n"/>
      <c r="D234" s="12" t="n"/>
      <c r="E234" s="12" t="n"/>
      <c r="F234" s="43" t="n"/>
      <c r="G234" s="12" t="n"/>
      <c r="H234" s="12" t="n"/>
      <c r="I234" s="12" t="n"/>
      <c r="J234" s="12" t="n"/>
      <c r="K234" s="12" t="n"/>
      <c r="L234" s="38" t="n"/>
      <c r="M234" s="12" t="n"/>
      <c r="N234" s="12" t="n"/>
      <c r="O234" s="12" t="n"/>
      <c r="P234" s="12" t="n"/>
    </row>
    <row r="235">
      <c r="A235" s="12" t="n"/>
      <c r="B235" s="38" t="n"/>
      <c r="C235" s="12" t="n"/>
      <c r="D235" s="12" t="n"/>
      <c r="E235" s="12" t="n"/>
      <c r="F235" s="43" t="n"/>
      <c r="G235" s="12" t="n"/>
      <c r="H235" s="12" t="n"/>
      <c r="I235" s="12" t="n"/>
      <c r="J235" s="12" t="n"/>
      <c r="K235" s="12" t="n"/>
      <c r="L235" s="38" t="n"/>
      <c r="M235" s="12" t="n"/>
      <c r="N235" s="12" t="n"/>
      <c r="O235" s="12" t="n"/>
      <c r="P235" s="12" t="n"/>
    </row>
    <row r="236">
      <c r="A236" s="12" t="n"/>
      <c r="B236" s="38" t="n"/>
      <c r="C236" s="12" t="n"/>
      <c r="D236" s="12" t="n"/>
      <c r="E236" s="12" t="n"/>
      <c r="F236" s="43" t="n"/>
      <c r="G236" s="12" t="n"/>
      <c r="H236" s="12" t="n"/>
      <c r="I236" s="12" t="n"/>
      <c r="J236" s="12" t="n"/>
      <c r="K236" s="12" t="n"/>
      <c r="L236" s="38" t="n"/>
      <c r="M236" s="12" t="n"/>
      <c r="N236" s="12" t="n"/>
      <c r="O236" s="12" t="n"/>
      <c r="P236" s="12" t="n"/>
    </row>
    <row r="237">
      <c r="A237" s="12" t="n"/>
      <c r="B237" s="38" t="n"/>
      <c r="C237" s="12" t="n"/>
      <c r="D237" s="12" t="n"/>
      <c r="E237" s="12" t="n"/>
      <c r="F237" s="43" t="n"/>
      <c r="G237" s="12" t="n"/>
      <c r="H237" s="12" t="n"/>
      <c r="I237" s="12" t="n"/>
      <c r="J237" s="12" t="n"/>
      <c r="K237" s="12" t="n"/>
      <c r="L237" s="38" t="n"/>
      <c r="M237" s="12" t="n"/>
      <c r="N237" s="12" t="n"/>
      <c r="O237" s="12" t="n"/>
      <c r="P237" s="12" t="n"/>
    </row>
    <row r="238">
      <c r="A238" s="12" t="n"/>
      <c r="B238" s="38" t="n"/>
      <c r="C238" s="12" t="n"/>
      <c r="D238" s="12" t="n"/>
      <c r="E238" s="12" t="n"/>
      <c r="F238" s="43" t="n"/>
      <c r="G238" s="12" t="n"/>
      <c r="H238" s="12" t="n"/>
      <c r="I238" s="12" t="n"/>
      <c r="J238" s="12" t="n"/>
      <c r="K238" s="12" t="n"/>
      <c r="L238" s="38" t="n"/>
      <c r="M238" s="12" t="n"/>
      <c r="N238" s="12" t="n"/>
      <c r="O238" s="12" t="n"/>
      <c r="P238" s="12" t="n"/>
    </row>
    <row r="239">
      <c r="A239" s="12" t="n"/>
      <c r="B239" s="38" t="n"/>
      <c r="C239" s="12" t="n"/>
      <c r="D239" s="12" t="n"/>
      <c r="E239" s="12" t="n"/>
      <c r="F239" s="43" t="n"/>
      <c r="G239" s="12" t="n"/>
      <c r="H239" s="12" t="n"/>
      <c r="I239" s="12" t="n"/>
      <c r="J239" s="12" t="n"/>
      <c r="K239" s="12" t="n"/>
      <c r="L239" s="38" t="n"/>
      <c r="M239" s="12" t="n"/>
      <c r="N239" s="12" t="n"/>
      <c r="O239" s="12" t="n"/>
      <c r="P239" s="12" t="n"/>
    </row>
    <row r="240">
      <c r="A240" s="12" t="n"/>
      <c r="B240" s="38" t="n"/>
      <c r="C240" s="12" t="n"/>
      <c r="D240" s="12" t="n"/>
      <c r="E240" s="12" t="n"/>
      <c r="F240" s="43" t="n"/>
      <c r="G240" s="12" t="n"/>
      <c r="H240" s="12" t="n"/>
      <c r="I240" s="12" t="n"/>
      <c r="J240" s="12" t="n"/>
      <c r="K240" s="12" t="n"/>
      <c r="L240" s="38" t="n"/>
      <c r="M240" s="12" t="n"/>
      <c r="N240" s="12" t="n"/>
      <c r="O240" s="12" t="n"/>
      <c r="P240" s="12" t="n"/>
    </row>
    <row r="241">
      <c r="A241" s="12" t="n"/>
      <c r="B241" s="38" t="n"/>
      <c r="C241" s="12" t="n"/>
      <c r="D241" s="12" t="n"/>
      <c r="E241" s="12" t="n"/>
      <c r="F241" s="43" t="n"/>
      <c r="G241" s="12" t="n"/>
      <c r="H241" s="12" t="n"/>
      <c r="I241" s="12" t="n"/>
      <c r="J241" s="12" t="n"/>
      <c r="K241" s="12" t="n"/>
      <c r="L241" s="38" t="n"/>
      <c r="M241" s="12" t="n"/>
      <c r="N241" s="12" t="n"/>
      <c r="O241" s="12" t="n"/>
      <c r="P241" s="12" t="n"/>
    </row>
    <row r="242">
      <c r="A242" s="12" t="n"/>
      <c r="B242" s="38" t="n"/>
      <c r="C242" s="12" t="n"/>
      <c r="D242" s="12" t="n"/>
      <c r="E242" s="12" t="n"/>
      <c r="F242" s="43" t="n"/>
      <c r="G242" s="12" t="n"/>
      <c r="H242" s="12" t="n"/>
      <c r="I242" s="12" t="n"/>
      <c r="J242" s="12" t="n"/>
      <c r="K242" s="12" t="n"/>
      <c r="L242" s="38" t="n"/>
      <c r="M242" s="12" t="n"/>
      <c r="N242" s="12" t="n"/>
      <c r="O242" s="12" t="n"/>
      <c r="P242" s="12" t="n"/>
    </row>
    <row r="243">
      <c r="A243" s="12" t="n"/>
      <c r="B243" s="38" t="n"/>
      <c r="C243" s="12" t="n"/>
      <c r="D243" s="12" t="n"/>
      <c r="E243" s="12" t="n"/>
      <c r="F243" s="43" t="n"/>
      <c r="G243" s="12" t="n"/>
      <c r="H243" s="12" t="n"/>
      <c r="I243" s="12" t="n"/>
      <c r="J243" s="12" t="n"/>
      <c r="K243" s="12" t="n"/>
      <c r="L243" s="38" t="n"/>
      <c r="M243" s="12" t="n"/>
      <c r="N243" s="12" t="n"/>
      <c r="O243" s="12" t="n"/>
      <c r="P243" s="12" t="n"/>
    </row>
    <row r="244">
      <c r="A244" s="12" t="n"/>
      <c r="B244" s="38" t="n"/>
      <c r="C244" s="12" t="n"/>
      <c r="D244" s="12" t="n"/>
      <c r="E244" s="12" t="n"/>
      <c r="F244" s="43" t="n"/>
      <c r="G244" s="12" t="n"/>
      <c r="H244" s="12" t="n"/>
      <c r="I244" s="12" t="n"/>
      <c r="J244" s="12" t="n"/>
      <c r="K244" s="12" t="n"/>
      <c r="L244" s="38" t="n"/>
      <c r="M244" s="12" t="n"/>
      <c r="N244" s="12" t="n"/>
      <c r="O244" s="12" t="n"/>
      <c r="P244" s="12" t="n"/>
    </row>
    <row r="245">
      <c r="A245" s="12" t="n"/>
      <c r="B245" s="38" t="n"/>
      <c r="C245" s="12" t="n"/>
      <c r="D245" s="12" t="n"/>
      <c r="E245" s="12" t="n"/>
      <c r="F245" s="43" t="n"/>
      <c r="G245" s="12" t="n"/>
      <c r="H245" s="12" t="n"/>
      <c r="I245" s="12" t="n"/>
      <c r="J245" s="12" t="n"/>
      <c r="K245" s="12" t="n"/>
      <c r="L245" s="38" t="n"/>
      <c r="M245" s="12" t="n"/>
      <c r="N245" s="12" t="n"/>
      <c r="O245" s="12" t="n"/>
      <c r="P245" s="12" t="n"/>
    </row>
    <row r="246">
      <c r="A246" s="12" t="n"/>
      <c r="B246" s="38" t="n"/>
      <c r="C246" s="12" t="n"/>
      <c r="D246" s="12" t="n"/>
      <c r="E246" s="12" t="n"/>
      <c r="F246" s="43" t="n"/>
      <c r="G246" s="12" t="n"/>
      <c r="H246" s="12" t="n"/>
      <c r="I246" s="12" t="n"/>
      <c r="J246" s="12" t="n"/>
      <c r="K246" s="12" t="n"/>
      <c r="L246" s="38" t="n"/>
      <c r="M246" s="12" t="n"/>
      <c r="N246" s="12" t="n"/>
      <c r="O246" s="12" t="n"/>
      <c r="P246" s="12" t="n"/>
    </row>
    <row r="247">
      <c r="A247" s="12" t="n"/>
      <c r="B247" s="38" t="n"/>
      <c r="C247" s="12" t="n"/>
      <c r="D247" s="12" t="n"/>
      <c r="E247" s="12" t="n"/>
      <c r="F247" s="43" t="n"/>
      <c r="G247" s="12" t="n"/>
      <c r="H247" s="12" t="n"/>
      <c r="I247" s="12" t="n"/>
      <c r="J247" s="12" t="n"/>
      <c r="K247" s="12" t="n"/>
      <c r="L247" s="38" t="n"/>
      <c r="M247" s="12" t="n"/>
      <c r="N247" s="12" t="n"/>
      <c r="O247" s="12" t="n"/>
      <c r="P247" s="12" t="n"/>
    </row>
    <row r="248">
      <c r="A248" s="12" t="n"/>
      <c r="B248" s="38" t="n"/>
      <c r="C248" s="12" t="n"/>
      <c r="D248" s="12" t="n"/>
      <c r="E248" s="12" t="n"/>
      <c r="F248" s="43" t="n"/>
      <c r="G248" s="12" t="n"/>
      <c r="H248" s="12" t="n"/>
      <c r="I248" s="12" t="n"/>
      <c r="J248" s="12" t="n"/>
      <c r="K248" s="12" t="n"/>
      <c r="L248" s="38" t="n"/>
      <c r="M248" s="12" t="n"/>
      <c r="N248" s="12" t="n"/>
      <c r="O248" s="12" t="n"/>
      <c r="P248" s="12" t="n"/>
    </row>
    <row r="249">
      <c r="A249" s="12" t="n"/>
      <c r="B249" s="38" t="n"/>
      <c r="C249" s="12" t="n"/>
      <c r="D249" s="12" t="n"/>
      <c r="E249" s="12" t="n"/>
      <c r="F249" s="43" t="n"/>
      <c r="G249" s="12" t="n"/>
      <c r="H249" s="12" t="n"/>
      <c r="I249" s="12" t="n"/>
      <c r="J249" s="12" t="n"/>
      <c r="K249" s="12" t="n"/>
      <c r="L249" s="38" t="n"/>
      <c r="M249" s="12" t="n"/>
      <c r="N249" s="12" t="n"/>
      <c r="O249" s="12" t="n"/>
      <c r="P249" s="12" t="n"/>
    </row>
    <row r="250">
      <c r="A250" s="12" t="n"/>
      <c r="B250" s="38" t="n"/>
      <c r="C250" s="12" t="n"/>
      <c r="D250" s="12" t="n"/>
      <c r="E250" s="12" t="n"/>
      <c r="F250" s="43" t="n"/>
      <c r="G250" s="12" t="n"/>
      <c r="H250" s="12" t="n"/>
      <c r="I250" s="12" t="n"/>
      <c r="J250" s="12" t="n"/>
      <c r="K250" s="12" t="n"/>
      <c r="L250" s="38" t="n"/>
      <c r="M250" s="12" t="n"/>
      <c r="N250" s="12" t="n"/>
      <c r="O250" s="12" t="n"/>
      <c r="P250" s="12" t="n"/>
    </row>
    <row r="251">
      <c r="A251" s="12" t="n"/>
      <c r="B251" s="38" t="n"/>
      <c r="C251" s="12" t="n"/>
      <c r="D251" s="12" t="n"/>
      <c r="E251" s="12" t="n"/>
      <c r="F251" s="43" t="n"/>
      <c r="G251" s="12" t="n"/>
      <c r="H251" s="12" t="n"/>
      <c r="I251" s="12" t="n"/>
      <c r="J251" s="12" t="n"/>
      <c r="K251" s="12" t="n"/>
      <c r="L251" s="38" t="n"/>
      <c r="M251" s="12" t="n"/>
      <c r="N251" s="12" t="n"/>
      <c r="O251" s="12" t="n"/>
      <c r="P251" s="12" t="n"/>
    </row>
    <row r="252">
      <c r="A252" s="12" t="n"/>
      <c r="B252" s="38" t="n"/>
      <c r="C252" s="12" t="n"/>
      <c r="D252" s="12" t="n"/>
      <c r="E252" s="12" t="n"/>
      <c r="F252" s="43" t="n"/>
      <c r="G252" s="12" t="n"/>
      <c r="H252" s="12" t="n"/>
      <c r="I252" s="12" t="n"/>
      <c r="J252" s="12" t="n"/>
      <c r="K252" s="12" t="n"/>
      <c r="L252" s="38" t="n"/>
      <c r="M252" s="12" t="n"/>
      <c r="N252" s="12" t="n"/>
      <c r="O252" s="12" t="n"/>
      <c r="P252" s="12" t="n"/>
    </row>
    <row r="253">
      <c r="A253" s="12" t="n"/>
      <c r="B253" s="38" t="n"/>
      <c r="C253" s="12" t="n"/>
      <c r="D253" s="12" t="n"/>
      <c r="E253" s="12" t="n"/>
      <c r="F253" s="43" t="n"/>
      <c r="G253" s="12" t="n"/>
      <c r="H253" s="12" t="n"/>
      <c r="I253" s="12" t="n"/>
      <c r="J253" s="12" t="n"/>
      <c r="K253" s="12" t="n"/>
      <c r="L253" s="38" t="n"/>
      <c r="M253" s="12" t="n"/>
      <c r="N253" s="12" t="n"/>
      <c r="O253" s="12" t="n"/>
      <c r="P253" s="12" t="n"/>
    </row>
    <row r="254">
      <c r="A254" s="12" t="n"/>
      <c r="B254" s="38" t="n"/>
      <c r="C254" s="12" t="n"/>
      <c r="D254" s="12" t="n"/>
      <c r="E254" s="12" t="n"/>
      <c r="F254" s="43" t="n"/>
      <c r="G254" s="12" t="n"/>
      <c r="H254" s="12" t="n"/>
      <c r="I254" s="12" t="n"/>
      <c r="J254" s="12" t="n"/>
      <c r="K254" s="12" t="n"/>
      <c r="L254" s="38" t="n"/>
      <c r="M254" s="12" t="n"/>
      <c r="N254" s="12" t="n"/>
      <c r="O254" s="12" t="n"/>
      <c r="P254" s="12" t="n"/>
    </row>
    <row r="255">
      <c r="A255" s="12" t="n"/>
      <c r="B255" s="38" t="n"/>
      <c r="C255" s="12" t="n"/>
      <c r="D255" s="12" t="n"/>
      <c r="E255" s="12" t="n"/>
      <c r="F255" s="43" t="n"/>
      <c r="G255" s="12" t="n"/>
      <c r="H255" s="12" t="n"/>
      <c r="I255" s="12" t="n"/>
      <c r="J255" s="12" t="n"/>
      <c r="K255" s="12" t="n"/>
      <c r="L255" s="38" t="n"/>
      <c r="M255" s="12" t="n"/>
      <c r="N255" s="12" t="n"/>
      <c r="O255" s="12" t="n"/>
      <c r="P255" s="12" t="n"/>
    </row>
    <row r="256">
      <c r="A256" s="12" t="n"/>
      <c r="B256" s="38" t="n"/>
      <c r="C256" s="12" t="n"/>
      <c r="D256" s="12" t="n"/>
      <c r="E256" s="12" t="n"/>
      <c r="F256" s="43" t="n"/>
      <c r="G256" s="12" t="n"/>
      <c r="H256" s="12" t="n"/>
      <c r="I256" s="12" t="n"/>
      <c r="J256" s="12" t="n"/>
      <c r="K256" s="12" t="n"/>
      <c r="L256" s="38" t="n"/>
      <c r="M256" s="12" t="n"/>
      <c r="N256" s="12" t="n"/>
      <c r="O256" s="12" t="n"/>
      <c r="P256" s="12" t="n"/>
    </row>
    <row r="257">
      <c r="A257" s="12" t="n"/>
      <c r="B257" s="38" t="n"/>
      <c r="C257" s="12" t="n"/>
      <c r="D257" s="12" t="n"/>
      <c r="E257" s="12" t="n"/>
      <c r="F257" s="43" t="n"/>
      <c r="G257" s="12" t="n"/>
      <c r="H257" s="12" t="n"/>
      <c r="I257" s="12" t="n"/>
      <c r="J257" s="12" t="n"/>
      <c r="K257" s="12" t="n"/>
      <c r="L257" s="38" t="n"/>
      <c r="M257" s="12" t="n"/>
      <c r="N257" s="12" t="n"/>
      <c r="O257" s="12" t="n"/>
      <c r="P257" s="12" t="n"/>
    </row>
    <row r="258">
      <c r="A258" s="12" t="n"/>
      <c r="B258" s="38" t="n"/>
      <c r="C258" s="12" t="n"/>
      <c r="D258" s="12" t="n"/>
      <c r="E258" s="12" t="n"/>
      <c r="F258" s="43" t="n"/>
      <c r="G258" s="12" t="n"/>
      <c r="H258" s="12" t="n"/>
      <c r="I258" s="12" t="n"/>
      <c r="J258" s="12" t="n"/>
      <c r="K258" s="12" t="n"/>
      <c r="L258" s="38" t="n"/>
      <c r="M258" s="12" t="n"/>
      <c r="N258" s="12" t="n"/>
      <c r="O258" s="12" t="n"/>
      <c r="P258" s="12" t="n"/>
    </row>
    <row r="259">
      <c r="A259" s="12" t="n"/>
      <c r="B259" s="38" t="n"/>
      <c r="C259" s="12" t="n"/>
      <c r="D259" s="12" t="n"/>
      <c r="E259" s="12" t="n"/>
      <c r="F259" s="43" t="n"/>
      <c r="G259" s="12" t="n"/>
      <c r="H259" s="12" t="n"/>
      <c r="I259" s="12" t="n"/>
      <c r="J259" s="12" t="n"/>
      <c r="K259" s="12" t="n"/>
      <c r="L259" s="38" t="n"/>
      <c r="M259" s="12" t="n"/>
      <c r="N259" s="12" t="n"/>
      <c r="O259" s="12" t="n"/>
      <c r="P259" s="12" t="n"/>
    </row>
    <row r="260">
      <c r="A260" s="12" t="n"/>
      <c r="B260" s="38" t="n"/>
      <c r="C260" s="12" t="n"/>
      <c r="D260" s="12" t="n"/>
      <c r="E260" s="12" t="n"/>
      <c r="F260" s="43" t="n"/>
      <c r="G260" s="12" t="n"/>
      <c r="H260" s="12" t="n"/>
      <c r="I260" s="12" t="n"/>
      <c r="J260" s="12" t="n"/>
      <c r="K260" s="12" t="n"/>
      <c r="L260" s="38" t="n"/>
      <c r="M260" s="12" t="n"/>
      <c r="N260" s="12" t="n"/>
      <c r="O260" s="12" t="n"/>
      <c r="P260" s="12" t="n"/>
    </row>
    <row r="261">
      <c r="A261" s="12" t="n"/>
      <c r="B261" s="38" t="n"/>
      <c r="C261" s="12" t="n"/>
      <c r="D261" s="12" t="n"/>
      <c r="E261" s="12" t="n"/>
      <c r="F261" s="43" t="n"/>
      <c r="G261" s="12" t="n"/>
      <c r="H261" s="12" t="n"/>
      <c r="I261" s="12" t="n"/>
      <c r="J261" s="12" t="n"/>
      <c r="K261" s="12" t="n"/>
      <c r="L261" s="38" t="n"/>
      <c r="M261" s="12" t="n"/>
      <c r="N261" s="12" t="n"/>
      <c r="O261" s="12" t="n"/>
      <c r="P261" s="12" t="n"/>
    </row>
    <row r="262">
      <c r="A262" s="12" t="n"/>
      <c r="B262" s="38" t="n"/>
      <c r="C262" s="12" t="n"/>
      <c r="D262" s="12" t="n"/>
      <c r="E262" s="12" t="n"/>
      <c r="F262" s="43" t="n"/>
      <c r="G262" s="12" t="n"/>
      <c r="H262" s="12" t="n"/>
      <c r="I262" s="12" t="n"/>
      <c r="J262" s="12" t="n"/>
      <c r="K262" s="12" t="n"/>
      <c r="L262" s="38" t="n"/>
      <c r="M262" s="12" t="n"/>
      <c r="N262" s="12" t="n"/>
      <c r="O262" s="12" t="n"/>
      <c r="P262" s="12" t="n"/>
    </row>
    <row r="263">
      <c r="A263" s="12" t="n"/>
      <c r="B263" s="38" t="n"/>
      <c r="C263" s="12" t="n"/>
      <c r="D263" s="12" t="n"/>
      <c r="E263" s="12" t="n"/>
      <c r="F263" s="43" t="n"/>
      <c r="G263" s="12" t="n"/>
      <c r="H263" s="12" t="n"/>
      <c r="I263" s="12" t="n"/>
      <c r="J263" s="12" t="n"/>
      <c r="K263" s="12" t="n"/>
      <c r="L263" s="38" t="n"/>
      <c r="M263" s="12" t="n"/>
      <c r="N263" s="12" t="n"/>
      <c r="O263" s="12" t="n"/>
      <c r="P263" s="12" t="n"/>
    </row>
    <row r="264">
      <c r="A264" s="12" t="n"/>
      <c r="B264" s="38" t="n"/>
      <c r="C264" s="12" t="n"/>
      <c r="D264" s="12" t="n"/>
      <c r="E264" s="12" t="n"/>
      <c r="F264" s="43" t="n"/>
      <c r="G264" s="12" t="n"/>
      <c r="H264" s="12" t="n"/>
      <c r="I264" s="12" t="n"/>
      <c r="J264" s="12" t="n"/>
      <c r="K264" s="12" t="n"/>
      <c r="L264" s="38" t="n"/>
      <c r="M264" s="12" t="n"/>
      <c r="N264" s="12" t="n"/>
      <c r="O264" s="12" t="n"/>
      <c r="P264" s="12" t="n"/>
    </row>
    <row r="265">
      <c r="A265" s="12" t="n"/>
      <c r="B265" s="38" t="n"/>
      <c r="C265" s="12" t="n"/>
      <c r="D265" s="12" t="n"/>
      <c r="E265" s="12" t="n"/>
      <c r="F265" s="43" t="n"/>
      <c r="G265" s="12" t="n"/>
      <c r="H265" s="12" t="n"/>
      <c r="I265" s="12" t="n"/>
      <c r="J265" s="12" t="n"/>
      <c r="K265" s="12" t="n"/>
      <c r="L265" s="38" t="n"/>
      <c r="M265" s="12" t="n"/>
      <c r="N265" s="12" t="n"/>
      <c r="O265" s="12" t="n"/>
      <c r="P265" s="12" t="n"/>
    </row>
    <row r="266">
      <c r="A266" s="12" t="n"/>
      <c r="B266" s="38" t="n"/>
      <c r="C266" s="12" t="n"/>
      <c r="D266" s="12" t="n"/>
      <c r="E266" s="12" t="n"/>
      <c r="F266" s="43" t="n"/>
      <c r="G266" s="12" t="n"/>
      <c r="H266" s="12" t="n"/>
      <c r="I266" s="12" t="n"/>
      <c r="J266" s="12" t="n"/>
      <c r="K266" s="12" t="n"/>
      <c r="L266" s="38" t="n"/>
      <c r="M266" s="12" t="n"/>
      <c r="N266" s="12" t="n"/>
      <c r="O266" s="12" t="n"/>
      <c r="P266" s="12" t="n"/>
    </row>
    <row r="267">
      <c r="A267" s="12" t="n"/>
      <c r="B267" s="38" t="n"/>
      <c r="C267" s="12" t="n"/>
      <c r="D267" s="12" t="n"/>
      <c r="E267" s="12" t="n"/>
      <c r="F267" s="43" t="n"/>
      <c r="G267" s="12" t="n"/>
      <c r="H267" s="12" t="n"/>
      <c r="I267" s="12" t="n"/>
      <c r="J267" s="12" t="n"/>
      <c r="K267" s="12" t="n"/>
      <c r="L267" s="38" t="n"/>
      <c r="M267" s="12" t="n"/>
      <c r="N267" s="12" t="n"/>
      <c r="O267" s="12" t="n"/>
      <c r="P267" s="12" t="n"/>
    </row>
    <row r="268">
      <c r="A268" s="12" t="n"/>
      <c r="B268" s="38" t="n"/>
      <c r="C268" s="12" t="n"/>
      <c r="D268" s="12" t="n"/>
      <c r="E268" s="12" t="n"/>
      <c r="F268" s="43" t="n"/>
      <c r="G268" s="12" t="n"/>
      <c r="H268" s="12" t="n"/>
      <c r="I268" s="12" t="n"/>
      <c r="J268" s="12" t="n"/>
      <c r="K268" s="12" t="n"/>
      <c r="L268" s="38" t="n"/>
      <c r="M268" s="12" t="n"/>
      <c r="N268" s="12" t="n"/>
      <c r="O268" s="12" t="n"/>
      <c r="P268" s="12" t="n"/>
    </row>
    <row r="269">
      <c r="A269" s="12" t="n"/>
      <c r="B269" s="38" t="n"/>
      <c r="C269" s="12" t="n"/>
      <c r="D269" s="12" t="n"/>
      <c r="E269" s="12" t="n"/>
      <c r="F269" s="43" t="n"/>
      <c r="G269" s="12" t="n"/>
      <c r="H269" s="12" t="n"/>
      <c r="I269" s="12" t="n"/>
      <c r="J269" s="12" t="n"/>
      <c r="K269" s="12" t="n"/>
      <c r="L269" s="38" t="n"/>
      <c r="M269" s="12" t="n"/>
      <c r="N269" s="12" t="n"/>
      <c r="O269" s="12" t="n"/>
      <c r="P269" s="12" t="n"/>
    </row>
    <row r="270">
      <c r="A270" s="12" t="n"/>
      <c r="B270" s="38" t="n"/>
      <c r="C270" s="12" t="n"/>
      <c r="D270" s="12" t="n"/>
      <c r="E270" s="12" t="n"/>
      <c r="F270" s="43" t="n"/>
      <c r="G270" s="12" t="n"/>
      <c r="H270" s="12" t="n"/>
      <c r="I270" s="12" t="n"/>
      <c r="J270" s="12" t="n"/>
      <c r="K270" s="12" t="n"/>
      <c r="L270" s="38" t="n"/>
      <c r="M270" s="12" t="n"/>
      <c r="N270" s="12" t="n"/>
      <c r="O270" s="12" t="n"/>
      <c r="P270" s="12" t="n"/>
    </row>
    <row r="271">
      <c r="A271" s="12" t="n"/>
      <c r="B271" s="38" t="n"/>
      <c r="C271" s="12" t="n"/>
      <c r="D271" s="12" t="n"/>
      <c r="E271" s="12" t="n"/>
      <c r="F271" s="43" t="n"/>
      <c r="G271" s="12" t="n"/>
      <c r="H271" s="12" t="n"/>
      <c r="I271" s="12" t="n"/>
      <c r="J271" s="12" t="n"/>
      <c r="K271" s="12" t="n"/>
      <c r="L271" s="38" t="n"/>
      <c r="M271" s="12" t="n"/>
      <c r="N271" s="12" t="n"/>
      <c r="O271" s="12" t="n"/>
      <c r="P271" s="12" t="n"/>
    </row>
    <row r="272">
      <c r="A272" s="12" t="n"/>
      <c r="B272" s="38" t="n"/>
      <c r="C272" s="12" t="n"/>
      <c r="D272" s="12" t="n"/>
      <c r="E272" s="12" t="n"/>
      <c r="F272" s="43" t="n"/>
      <c r="G272" s="12" t="n"/>
      <c r="H272" s="12" t="n"/>
      <c r="I272" s="12" t="n"/>
      <c r="J272" s="12" t="n"/>
      <c r="K272" s="12" t="n"/>
      <c r="L272" s="38" t="n"/>
      <c r="M272" s="12" t="n"/>
      <c r="N272" s="12" t="n"/>
      <c r="O272" s="12" t="n"/>
      <c r="P272" s="12" t="n"/>
    </row>
    <row r="273">
      <c r="A273" s="12" t="n"/>
      <c r="B273" s="38" t="n"/>
      <c r="C273" s="12" t="n"/>
      <c r="D273" s="12" t="n"/>
      <c r="E273" s="12" t="n"/>
      <c r="F273" s="43" t="n"/>
      <c r="G273" s="12" t="n"/>
      <c r="H273" s="12" t="n"/>
      <c r="I273" s="12" t="n"/>
      <c r="J273" s="12" t="n"/>
      <c r="K273" s="12" t="n"/>
      <c r="L273" s="38" t="n"/>
      <c r="M273" s="12" t="n"/>
      <c r="N273" s="12" t="n"/>
      <c r="O273" s="12" t="n"/>
      <c r="P273" s="12" t="n"/>
    </row>
    <row r="274">
      <c r="A274" s="12" t="n"/>
      <c r="B274" s="38" t="n"/>
      <c r="C274" s="12" t="n"/>
      <c r="D274" s="12" t="n"/>
      <c r="E274" s="12" t="n"/>
      <c r="F274" s="43" t="n"/>
      <c r="G274" s="12" t="n"/>
      <c r="H274" s="12" t="n"/>
      <c r="I274" s="12" t="n"/>
      <c r="J274" s="12" t="n"/>
      <c r="K274" s="12" t="n"/>
      <c r="L274" s="38" t="n"/>
      <c r="M274" s="12" t="n"/>
      <c r="N274" s="12" t="n"/>
      <c r="O274" s="12" t="n"/>
      <c r="P274" s="12" t="n"/>
    </row>
    <row r="275">
      <c r="A275" s="12" t="n"/>
      <c r="B275" s="38" t="n"/>
      <c r="C275" s="12" t="n"/>
      <c r="D275" s="12" t="n"/>
      <c r="E275" s="12" t="n"/>
      <c r="F275" s="43" t="n"/>
      <c r="G275" s="12" t="n"/>
      <c r="H275" s="12" t="n"/>
      <c r="I275" s="12" t="n"/>
      <c r="J275" s="12" t="n"/>
      <c r="K275" s="12" t="n"/>
      <c r="L275" s="38" t="n"/>
      <c r="M275" s="12" t="n"/>
      <c r="N275" s="12" t="n"/>
      <c r="O275" s="12" t="n"/>
      <c r="P275" s="12" t="n"/>
    </row>
    <row r="276">
      <c r="A276" s="12" t="n"/>
      <c r="B276" s="38" t="n"/>
      <c r="C276" s="12" t="n"/>
      <c r="D276" s="12" t="n"/>
      <c r="E276" s="12" t="n"/>
      <c r="F276" s="43" t="n"/>
      <c r="G276" s="12" t="n"/>
      <c r="H276" s="12" t="n"/>
      <c r="I276" s="12" t="n"/>
      <c r="J276" s="12" t="n"/>
      <c r="K276" s="12" t="n"/>
      <c r="L276" s="38" t="n"/>
      <c r="M276" s="12" t="n"/>
      <c r="N276" s="12" t="n"/>
      <c r="O276" s="12" t="n"/>
      <c r="P276" s="12" t="n"/>
    </row>
    <row r="277">
      <c r="A277" s="12" t="n"/>
      <c r="B277" s="38" t="n"/>
      <c r="C277" s="12" t="n"/>
      <c r="D277" s="12" t="n"/>
      <c r="E277" s="12" t="n"/>
      <c r="F277" s="43" t="n"/>
      <c r="G277" s="12" t="n"/>
      <c r="H277" s="12" t="n"/>
      <c r="I277" s="12" t="n"/>
      <c r="J277" s="12" t="n"/>
      <c r="K277" s="12" t="n"/>
      <c r="L277" s="38" t="n"/>
      <c r="M277" s="12" t="n"/>
      <c r="N277" s="12" t="n"/>
      <c r="O277" s="12" t="n"/>
      <c r="P277" s="12" t="n"/>
    </row>
    <row r="278">
      <c r="A278" s="12" t="n"/>
      <c r="B278" s="38" t="n"/>
      <c r="C278" s="12" t="n"/>
      <c r="D278" s="12" t="n"/>
      <c r="E278" s="12" t="n"/>
      <c r="F278" s="43" t="n"/>
      <c r="G278" s="12" t="n"/>
      <c r="H278" s="12" t="n"/>
      <c r="I278" s="12" t="n"/>
      <c r="J278" s="12" t="n"/>
      <c r="K278" s="12" t="n"/>
      <c r="L278" s="38" t="n"/>
      <c r="M278" s="12" t="n"/>
      <c r="N278" s="12" t="n"/>
      <c r="O278" s="12" t="n"/>
      <c r="P278" s="12" t="n"/>
    </row>
    <row r="279">
      <c r="A279" s="12" t="n"/>
      <c r="B279" s="38" t="n"/>
      <c r="C279" s="12" t="n"/>
      <c r="D279" s="12" t="n"/>
      <c r="E279" s="12" t="n"/>
      <c r="F279" s="43" t="n"/>
      <c r="G279" s="12" t="n"/>
      <c r="H279" s="12" t="n"/>
      <c r="I279" s="12" t="n"/>
      <c r="J279" s="12" t="n"/>
      <c r="K279" s="12" t="n"/>
      <c r="L279" s="38" t="n"/>
      <c r="M279" s="12" t="n"/>
      <c r="N279" s="12" t="n"/>
      <c r="O279" s="12" t="n"/>
      <c r="P279" s="12" t="n"/>
    </row>
    <row r="280">
      <c r="A280" s="12" t="n"/>
      <c r="B280" s="38" t="n"/>
      <c r="C280" s="12" t="n"/>
      <c r="D280" s="12" t="n"/>
      <c r="E280" s="12" t="n"/>
      <c r="F280" s="43" t="n"/>
      <c r="G280" s="12" t="n"/>
      <c r="H280" s="12" t="n"/>
      <c r="I280" s="12" t="n"/>
      <c r="J280" s="12" t="n"/>
      <c r="K280" s="12" t="n"/>
      <c r="L280" s="38" t="n"/>
      <c r="M280" s="12" t="n"/>
      <c r="N280" s="12" t="n"/>
      <c r="O280" s="12" t="n"/>
      <c r="P280" s="12" t="n"/>
    </row>
    <row r="281">
      <c r="A281" s="12" t="n"/>
      <c r="B281" s="38" t="n"/>
      <c r="C281" s="12" t="n"/>
      <c r="D281" s="12" t="n"/>
      <c r="E281" s="12" t="n"/>
      <c r="F281" s="43" t="n"/>
      <c r="G281" s="12" t="n"/>
      <c r="H281" s="12" t="n"/>
      <c r="I281" s="12" t="n"/>
      <c r="J281" s="12" t="n"/>
      <c r="K281" s="12" t="n"/>
      <c r="L281" s="38" t="n"/>
      <c r="M281" s="12" t="n"/>
      <c r="N281" s="12" t="n"/>
      <c r="O281" s="12" t="n"/>
      <c r="P281" s="12" t="n"/>
    </row>
    <row r="282">
      <c r="A282" s="12" t="n"/>
      <c r="B282" s="38" t="n"/>
      <c r="C282" s="12" t="n"/>
      <c r="D282" s="12" t="n"/>
      <c r="E282" s="12" t="n"/>
      <c r="F282" s="43" t="n"/>
      <c r="G282" s="12" t="n"/>
      <c r="H282" s="12" t="n"/>
      <c r="I282" s="12" t="n"/>
      <c r="J282" s="12" t="n"/>
      <c r="K282" s="12" t="n"/>
      <c r="L282" s="38" t="n"/>
      <c r="M282" s="12" t="n"/>
      <c r="N282" s="12" t="n"/>
      <c r="O282" s="12" t="n"/>
      <c r="P282" s="12" t="n"/>
    </row>
    <row r="283">
      <c r="A283" s="12" t="n"/>
      <c r="B283" s="38" t="n"/>
      <c r="C283" s="12" t="n"/>
      <c r="D283" s="12" t="n"/>
      <c r="E283" s="12" t="n"/>
      <c r="F283" s="43" t="n"/>
      <c r="G283" s="12" t="n"/>
      <c r="H283" s="12" t="n"/>
      <c r="I283" s="12" t="n"/>
      <c r="J283" s="12" t="n"/>
      <c r="K283" s="12" t="n"/>
      <c r="L283" s="38" t="n"/>
      <c r="M283" s="12" t="n"/>
      <c r="N283" s="12" t="n"/>
      <c r="O283" s="12" t="n"/>
      <c r="P283" s="12" t="n"/>
    </row>
    <row r="284">
      <c r="A284" s="12" t="n"/>
      <c r="B284" s="38" t="n"/>
      <c r="C284" s="12" t="n"/>
      <c r="D284" s="12" t="n"/>
      <c r="E284" s="12" t="n"/>
      <c r="F284" s="43" t="n"/>
      <c r="G284" s="12" t="n"/>
      <c r="H284" s="12" t="n"/>
      <c r="I284" s="12" t="n"/>
      <c r="J284" s="12" t="n"/>
      <c r="K284" s="12" t="n"/>
      <c r="L284" s="38" t="n"/>
      <c r="M284" s="12" t="n"/>
      <c r="N284" s="12" t="n"/>
      <c r="O284" s="12" t="n"/>
      <c r="P284" s="12" t="n"/>
    </row>
    <row r="285">
      <c r="A285" s="12" t="n"/>
      <c r="B285" s="38" t="n"/>
      <c r="C285" s="12" t="n"/>
      <c r="D285" s="12" t="n"/>
      <c r="E285" s="12" t="n"/>
      <c r="F285" s="43" t="n"/>
      <c r="G285" s="12" t="n"/>
      <c r="H285" s="12" t="n"/>
      <c r="I285" s="12" t="n"/>
      <c r="J285" s="12" t="n"/>
      <c r="K285" s="12" t="n"/>
      <c r="L285" s="38" t="n"/>
      <c r="M285" s="12" t="n"/>
      <c r="N285" s="12" t="n"/>
      <c r="O285" s="12" t="n"/>
      <c r="P285" s="12" t="n"/>
    </row>
    <row r="286">
      <c r="A286" s="12" t="n"/>
      <c r="B286" s="38" t="n"/>
      <c r="C286" s="12" t="n"/>
      <c r="D286" s="12" t="n"/>
      <c r="E286" s="12" t="n"/>
      <c r="F286" s="43" t="n"/>
      <c r="G286" s="12" t="n"/>
      <c r="H286" s="12" t="n"/>
      <c r="I286" s="12" t="n"/>
      <c r="J286" s="12" t="n"/>
      <c r="K286" s="12" t="n"/>
      <c r="L286" s="38" t="n"/>
      <c r="M286" s="12" t="n"/>
      <c r="N286" s="12" t="n"/>
      <c r="O286" s="12" t="n"/>
      <c r="P286" s="12" t="n"/>
    </row>
    <row r="287">
      <c r="A287" s="12" t="n"/>
      <c r="B287" s="38" t="n"/>
      <c r="C287" s="12" t="n"/>
      <c r="D287" s="12" t="n"/>
      <c r="E287" s="12" t="n"/>
      <c r="F287" s="43" t="n"/>
      <c r="G287" s="12" t="n"/>
      <c r="H287" s="12" t="n"/>
      <c r="I287" s="12" t="n"/>
      <c r="J287" s="12" t="n"/>
      <c r="K287" s="12" t="n"/>
      <c r="L287" s="38" t="n"/>
      <c r="M287" s="12" t="n"/>
      <c r="N287" s="12" t="n"/>
      <c r="O287" s="12" t="n"/>
      <c r="P287" s="12" t="n"/>
    </row>
    <row r="288">
      <c r="A288" s="12" t="n"/>
      <c r="B288" s="38" t="n"/>
      <c r="C288" s="12" t="n"/>
      <c r="D288" s="12" t="n"/>
      <c r="E288" s="12" t="n"/>
      <c r="F288" s="43" t="n"/>
      <c r="G288" s="12" t="n"/>
      <c r="H288" s="12" t="n"/>
      <c r="I288" s="12" t="n"/>
      <c r="J288" s="12" t="n"/>
      <c r="K288" s="12" t="n"/>
      <c r="L288" s="38" t="n"/>
      <c r="M288" s="12" t="n"/>
      <c r="N288" s="12" t="n"/>
      <c r="O288" s="12" t="n"/>
      <c r="P288" s="12" t="n"/>
    </row>
    <row r="289">
      <c r="A289" s="12" t="n"/>
      <c r="B289" s="38" t="n"/>
      <c r="C289" s="12" t="n"/>
      <c r="D289" s="12" t="n"/>
      <c r="E289" s="12" t="n"/>
      <c r="F289" s="43" t="n"/>
      <c r="G289" s="12" t="n"/>
      <c r="H289" s="12" t="n"/>
      <c r="I289" s="12" t="n"/>
      <c r="J289" s="12" t="n"/>
      <c r="K289" s="12" t="n"/>
      <c r="L289" s="38" t="n"/>
      <c r="M289" s="12" t="n"/>
      <c r="N289" s="12" t="n"/>
      <c r="O289" s="12" t="n"/>
      <c r="P289" s="12" t="n"/>
    </row>
    <row r="290">
      <c r="A290" s="12" t="n"/>
      <c r="B290" s="38" t="n"/>
      <c r="C290" s="12" t="n"/>
      <c r="D290" s="12" t="n"/>
      <c r="E290" s="12" t="n"/>
      <c r="F290" s="43" t="n"/>
      <c r="G290" s="12" t="n"/>
      <c r="H290" s="12" t="n"/>
      <c r="I290" s="12" t="n"/>
      <c r="J290" s="12" t="n"/>
      <c r="K290" s="12" t="n"/>
      <c r="L290" s="38" t="n"/>
      <c r="M290" s="12" t="n"/>
      <c r="N290" s="12" t="n"/>
      <c r="O290" s="12" t="n"/>
      <c r="P290" s="12" t="n"/>
    </row>
    <row r="291">
      <c r="A291" s="12" t="n"/>
      <c r="B291" s="38" t="n"/>
      <c r="C291" s="12" t="n"/>
      <c r="D291" s="12" t="n"/>
      <c r="E291" s="12" t="n"/>
      <c r="F291" s="43" t="n"/>
      <c r="G291" s="12" t="n"/>
      <c r="H291" s="12" t="n"/>
      <c r="I291" s="12" t="n"/>
      <c r="J291" s="12" t="n"/>
      <c r="K291" s="12" t="n"/>
      <c r="L291" s="38" t="n"/>
      <c r="M291" s="12" t="n"/>
      <c r="N291" s="12" t="n"/>
      <c r="O291" s="12" t="n"/>
      <c r="P291" s="12" t="n"/>
    </row>
    <row r="292">
      <c r="A292" s="12" t="n"/>
      <c r="B292" s="38" t="n"/>
      <c r="C292" s="12" t="n"/>
      <c r="D292" s="12" t="n"/>
      <c r="E292" s="12" t="n"/>
      <c r="F292" s="43" t="n"/>
      <c r="G292" s="12" t="n"/>
      <c r="H292" s="12" t="n"/>
      <c r="I292" s="12" t="n"/>
      <c r="J292" s="12" t="n"/>
      <c r="K292" s="12" t="n"/>
      <c r="L292" s="38" t="n"/>
      <c r="M292" s="12" t="n"/>
      <c r="N292" s="12" t="n"/>
      <c r="O292" s="12" t="n"/>
      <c r="P292" s="12" t="n"/>
    </row>
    <row r="293">
      <c r="A293" s="12" t="n"/>
      <c r="B293" s="38" t="n"/>
      <c r="C293" s="12" t="n"/>
      <c r="D293" s="12" t="n"/>
      <c r="E293" s="12" t="n"/>
      <c r="F293" s="43" t="n"/>
      <c r="G293" s="12" t="n"/>
      <c r="H293" s="12" t="n"/>
      <c r="I293" s="12" t="n"/>
      <c r="J293" s="12" t="n"/>
      <c r="K293" s="12" t="n"/>
      <c r="L293" s="38" t="n"/>
      <c r="M293" s="12" t="n"/>
      <c r="N293" s="12" t="n"/>
      <c r="O293" s="12" t="n"/>
      <c r="P293" s="12" t="n"/>
    </row>
    <row r="294">
      <c r="A294" s="12" t="n"/>
      <c r="B294" s="38" t="n"/>
      <c r="C294" s="12" t="n"/>
      <c r="D294" s="12" t="n"/>
      <c r="E294" s="12" t="n"/>
      <c r="F294" s="43" t="n"/>
      <c r="G294" s="12" t="n"/>
      <c r="H294" s="12" t="n"/>
      <c r="I294" s="12" t="n"/>
      <c r="J294" s="12" t="n"/>
      <c r="K294" s="12" t="n"/>
      <c r="L294" s="38" t="n"/>
      <c r="M294" s="12" t="n"/>
      <c r="N294" s="12" t="n"/>
      <c r="O294" s="12" t="n"/>
      <c r="P294" s="12" t="n"/>
    </row>
    <row r="295">
      <c r="A295" s="12" t="n"/>
      <c r="B295" s="38" t="n"/>
      <c r="C295" s="12" t="n"/>
      <c r="D295" s="12" t="n"/>
      <c r="E295" s="12" t="n"/>
      <c r="F295" s="43" t="n"/>
      <c r="G295" s="12" t="n"/>
      <c r="H295" s="12" t="n"/>
      <c r="I295" s="12" t="n"/>
      <c r="J295" s="12" t="n"/>
      <c r="K295" s="12" t="n"/>
      <c r="L295" s="38" t="n"/>
      <c r="M295" s="12" t="n"/>
      <c r="N295" s="12" t="n"/>
      <c r="O295" s="12" t="n"/>
      <c r="P295" s="12" t="n"/>
    </row>
    <row r="296">
      <c r="A296" s="12" t="n"/>
      <c r="B296" s="38" t="n"/>
      <c r="C296" s="12" t="n"/>
      <c r="D296" s="12" t="n"/>
      <c r="E296" s="12" t="n"/>
      <c r="F296" s="43" t="n"/>
      <c r="G296" s="12" t="n"/>
      <c r="H296" s="12" t="n"/>
      <c r="I296" s="12" t="n"/>
      <c r="J296" s="12" t="n"/>
      <c r="K296" s="12" t="n"/>
      <c r="L296" s="38" t="n"/>
      <c r="M296" s="12" t="n"/>
      <c r="N296" s="12" t="n"/>
      <c r="O296" s="12" t="n"/>
      <c r="P296" s="12" t="n"/>
    </row>
    <row r="297">
      <c r="A297" s="12" t="n"/>
      <c r="B297" s="38" t="n"/>
      <c r="C297" s="12" t="n"/>
      <c r="D297" s="12" t="n"/>
      <c r="E297" s="12" t="n"/>
      <c r="F297" s="43" t="n"/>
      <c r="G297" s="12" t="n"/>
      <c r="H297" s="12" t="n"/>
      <c r="I297" s="12" t="n"/>
      <c r="J297" s="12" t="n"/>
      <c r="K297" s="12" t="n"/>
      <c r="L297" s="38" t="n"/>
      <c r="M297" s="12" t="n"/>
      <c r="N297" s="12" t="n"/>
      <c r="O297" s="12" t="n"/>
      <c r="P297" s="12" t="n"/>
    </row>
    <row r="298">
      <c r="A298" s="12" t="n"/>
      <c r="B298" s="38" t="n"/>
      <c r="C298" s="12" t="n"/>
      <c r="D298" s="12" t="n"/>
      <c r="E298" s="12" t="n"/>
      <c r="F298" s="43" t="n"/>
      <c r="G298" s="12" t="n"/>
      <c r="H298" s="12" t="n"/>
      <c r="I298" s="12" t="n"/>
      <c r="J298" s="12" t="n"/>
      <c r="K298" s="12" t="n"/>
      <c r="L298" s="38" t="n"/>
      <c r="M298" s="12" t="n"/>
      <c r="N298" s="12" t="n"/>
      <c r="O298" s="12" t="n"/>
      <c r="P298" s="12" t="n"/>
    </row>
    <row r="299">
      <c r="A299" s="12" t="n"/>
      <c r="B299" s="38" t="n"/>
      <c r="C299" s="12" t="n"/>
      <c r="D299" s="12" t="n"/>
      <c r="E299" s="12" t="n"/>
      <c r="F299" s="43" t="n"/>
      <c r="G299" s="12" t="n"/>
      <c r="H299" s="12" t="n"/>
      <c r="I299" s="12" t="n"/>
      <c r="J299" s="12" t="n"/>
      <c r="K299" s="12" t="n"/>
      <c r="L299" s="38" t="n"/>
      <c r="M299" s="12" t="n"/>
      <c r="N299" s="12" t="n"/>
      <c r="O299" s="12" t="n"/>
      <c r="P299" s="12" t="n"/>
    </row>
    <row r="300">
      <c r="A300" s="12" t="n"/>
      <c r="B300" s="38" t="n"/>
      <c r="C300" s="12" t="n"/>
      <c r="D300" s="12" t="n"/>
      <c r="E300" s="12" t="n"/>
      <c r="F300" s="43" t="n"/>
      <c r="G300" s="12" t="n"/>
      <c r="H300" s="12" t="n"/>
      <c r="I300" s="12" t="n"/>
      <c r="J300" s="12" t="n"/>
      <c r="K300" s="12" t="n"/>
      <c r="L300" s="38" t="n"/>
      <c r="M300" s="12" t="n"/>
      <c r="N300" s="12" t="n"/>
      <c r="O300" s="12" t="n"/>
      <c r="P300" s="12" t="n"/>
    </row>
    <row r="301">
      <c r="A301" s="12" t="n"/>
      <c r="B301" s="38" t="n"/>
      <c r="C301" s="12" t="n"/>
      <c r="D301" s="12" t="n"/>
      <c r="E301" s="12" t="n"/>
      <c r="F301" s="43" t="n"/>
      <c r="G301" s="12" t="n"/>
      <c r="H301" s="12" t="n"/>
      <c r="I301" s="12" t="n"/>
      <c r="J301" s="12" t="n"/>
      <c r="K301" s="12" t="n"/>
      <c r="L301" s="38" t="n"/>
      <c r="M301" s="12" t="n"/>
      <c r="N301" s="12" t="n"/>
      <c r="O301" s="12" t="n"/>
      <c r="P301" s="12" t="n"/>
    </row>
    <row r="302">
      <c r="A302" s="12" t="n"/>
      <c r="B302" s="38" t="n"/>
      <c r="C302" s="12" t="n"/>
      <c r="D302" s="12" t="n"/>
      <c r="E302" s="12" t="n"/>
      <c r="F302" s="43" t="n"/>
      <c r="G302" s="12" t="n"/>
      <c r="H302" s="12" t="n"/>
      <c r="I302" s="12" t="n"/>
      <c r="J302" s="12" t="n"/>
      <c r="K302" s="12" t="n"/>
      <c r="L302" s="38" t="n"/>
      <c r="M302" s="12" t="n"/>
      <c r="N302" s="12" t="n"/>
      <c r="O302" s="12" t="n"/>
      <c r="P302" s="12" t="n"/>
    </row>
    <row r="303">
      <c r="A303" s="12" t="n"/>
      <c r="B303" s="38" t="n"/>
      <c r="C303" s="12" t="n"/>
      <c r="D303" s="12" t="n"/>
      <c r="E303" s="12" t="n"/>
      <c r="F303" s="43" t="n"/>
      <c r="G303" s="12" t="n"/>
      <c r="H303" s="12" t="n"/>
      <c r="I303" s="12" t="n"/>
      <c r="J303" s="12" t="n"/>
      <c r="K303" s="12" t="n"/>
      <c r="L303" s="38" t="n"/>
      <c r="M303" s="12" t="n"/>
      <c r="N303" s="12" t="n"/>
      <c r="O303" s="12" t="n"/>
      <c r="P303" s="12" t="n"/>
    </row>
    <row r="304">
      <c r="A304" s="12" t="n"/>
      <c r="B304" s="38" t="n"/>
      <c r="C304" s="12" t="n"/>
      <c r="D304" s="12" t="n"/>
      <c r="E304" s="12" t="n"/>
      <c r="F304" s="43" t="n"/>
      <c r="G304" s="12" t="n"/>
      <c r="H304" s="12" t="n"/>
      <c r="I304" s="12" t="n"/>
      <c r="J304" s="12" t="n"/>
      <c r="K304" s="12" t="n"/>
      <c r="L304" s="38" t="n"/>
      <c r="M304" s="12" t="n"/>
      <c r="N304" s="12" t="n"/>
      <c r="O304" s="12" t="n"/>
      <c r="P304" s="12" t="n"/>
    </row>
    <row r="305">
      <c r="A305" s="12" t="n"/>
      <c r="B305" s="38" t="n"/>
      <c r="C305" s="12" t="n"/>
      <c r="D305" s="12" t="n"/>
      <c r="E305" s="12" t="n"/>
      <c r="F305" s="43" t="n"/>
      <c r="G305" s="12" t="n"/>
      <c r="H305" s="12" t="n"/>
      <c r="I305" s="12" t="n"/>
      <c r="J305" s="12" t="n"/>
      <c r="K305" s="12" t="n"/>
      <c r="L305" s="38" t="n"/>
      <c r="M305" s="12" t="n"/>
      <c r="N305" s="12" t="n"/>
      <c r="O305" s="12" t="n"/>
      <c r="P305" s="12" t="n"/>
    </row>
    <row r="306">
      <c r="A306" s="12" t="n"/>
      <c r="B306" s="38" t="n"/>
      <c r="C306" s="12" t="n"/>
      <c r="D306" s="12" t="n"/>
      <c r="E306" s="12" t="n"/>
      <c r="F306" s="43" t="n"/>
      <c r="G306" s="12" t="n"/>
      <c r="H306" s="12" t="n"/>
      <c r="I306" s="12" t="n"/>
      <c r="J306" s="12" t="n"/>
      <c r="K306" s="12" t="n"/>
      <c r="L306" s="38" t="n"/>
      <c r="M306" s="12" t="n"/>
      <c r="N306" s="12" t="n"/>
      <c r="O306" s="12" t="n"/>
      <c r="P306" s="12" t="n"/>
    </row>
    <row r="307">
      <c r="A307" s="12" t="n"/>
      <c r="B307" s="38" t="n"/>
      <c r="C307" s="12" t="n"/>
      <c r="D307" s="12" t="n"/>
      <c r="E307" s="12" t="n"/>
      <c r="F307" s="43" t="n"/>
      <c r="G307" s="12" t="n"/>
      <c r="H307" s="12" t="n"/>
      <c r="I307" s="12" t="n"/>
      <c r="J307" s="12" t="n"/>
      <c r="K307" s="12" t="n"/>
      <c r="L307" s="38" t="n"/>
      <c r="M307" s="12" t="n"/>
      <c r="N307" s="12" t="n"/>
      <c r="O307" s="12" t="n"/>
      <c r="P307" s="12" t="n"/>
    </row>
    <row r="308">
      <c r="A308" s="12" t="n"/>
      <c r="B308" s="38" t="n"/>
      <c r="C308" s="12" t="n"/>
      <c r="D308" s="12" t="n"/>
      <c r="E308" s="12" t="n"/>
      <c r="F308" s="43" t="n"/>
      <c r="G308" s="12" t="n"/>
      <c r="H308" s="12" t="n"/>
      <c r="I308" s="12" t="n"/>
      <c r="J308" s="12" t="n"/>
      <c r="K308" s="12" t="n"/>
      <c r="L308" s="38" t="n"/>
      <c r="M308" s="12" t="n"/>
      <c r="N308" s="12" t="n"/>
      <c r="O308" s="12" t="n"/>
      <c r="P308" s="12" t="n"/>
    </row>
    <row r="309">
      <c r="A309" s="12" t="n"/>
      <c r="B309" s="38" t="n"/>
      <c r="C309" s="12" t="n"/>
      <c r="D309" s="12" t="n"/>
      <c r="E309" s="12" t="n"/>
      <c r="F309" s="43" t="n"/>
      <c r="G309" s="12" t="n"/>
      <c r="H309" s="12" t="n"/>
      <c r="I309" s="12" t="n"/>
      <c r="J309" s="12" t="n"/>
      <c r="K309" s="12" t="n"/>
      <c r="L309" s="38" t="n"/>
      <c r="M309" s="12" t="n"/>
      <c r="N309" s="12" t="n"/>
      <c r="O309" s="12" t="n"/>
      <c r="P309" s="12" t="n"/>
    </row>
    <row r="310">
      <c r="A310" s="12" t="n"/>
      <c r="B310" s="38" t="n"/>
      <c r="C310" s="12" t="n"/>
      <c r="D310" s="12" t="n"/>
      <c r="E310" s="12" t="n"/>
      <c r="F310" s="43" t="n"/>
      <c r="G310" s="12" t="n"/>
      <c r="H310" s="12" t="n"/>
      <c r="I310" s="12" t="n"/>
      <c r="J310" s="12" t="n"/>
      <c r="K310" s="12" t="n"/>
      <c r="L310" s="38" t="n"/>
      <c r="M310" s="12" t="n"/>
      <c r="N310" s="12" t="n"/>
      <c r="O310" s="12" t="n"/>
      <c r="P310" s="12" t="n"/>
    </row>
    <row r="311">
      <c r="A311" s="12" t="n"/>
      <c r="B311" s="38" t="n"/>
      <c r="C311" s="12" t="n"/>
      <c r="D311" s="12" t="n"/>
      <c r="E311" s="12" t="n"/>
      <c r="F311" s="43" t="n"/>
      <c r="G311" s="12" t="n"/>
      <c r="H311" s="12" t="n"/>
      <c r="I311" s="12" t="n"/>
      <c r="J311" s="12" t="n"/>
      <c r="K311" s="12" t="n"/>
      <c r="L311" s="38" t="n"/>
      <c r="M311" s="12" t="n"/>
      <c r="N311" s="12" t="n"/>
      <c r="O311" s="12" t="n"/>
      <c r="P311" s="12" t="n"/>
    </row>
    <row r="312">
      <c r="A312" s="12" t="n"/>
      <c r="B312" s="38" t="n"/>
      <c r="C312" s="12" t="n"/>
      <c r="D312" s="12" t="n"/>
      <c r="E312" s="12" t="n"/>
      <c r="F312" s="43" t="n"/>
      <c r="G312" s="12" t="n"/>
      <c r="H312" s="12" t="n"/>
      <c r="I312" s="12" t="n"/>
      <c r="J312" s="12" t="n"/>
      <c r="K312" s="12" t="n"/>
      <c r="L312" s="38" t="n"/>
      <c r="M312" s="12" t="n"/>
      <c r="N312" s="12" t="n"/>
      <c r="O312" s="12" t="n"/>
      <c r="P312" s="12" t="n"/>
    </row>
    <row r="313">
      <c r="A313" s="12" t="n"/>
      <c r="B313" s="38" t="n"/>
      <c r="C313" s="12" t="n"/>
      <c r="D313" s="12" t="n"/>
      <c r="E313" s="12" t="n"/>
      <c r="F313" s="43" t="n"/>
      <c r="G313" s="12" t="n"/>
      <c r="H313" s="12" t="n"/>
      <c r="I313" s="12" t="n"/>
      <c r="J313" s="12" t="n"/>
      <c r="K313" s="12" t="n"/>
      <c r="L313" s="38" t="n"/>
      <c r="M313" s="12" t="n"/>
      <c r="N313" s="12" t="n"/>
      <c r="O313" s="12" t="n"/>
      <c r="P313" s="12" t="n"/>
    </row>
    <row r="314">
      <c r="A314" s="12" t="n"/>
      <c r="B314" s="38" t="n"/>
      <c r="C314" s="12" t="n"/>
      <c r="D314" s="12" t="n"/>
      <c r="E314" s="12" t="n"/>
      <c r="F314" s="43" t="n"/>
      <c r="G314" s="12" t="n"/>
      <c r="H314" s="12" t="n"/>
      <c r="I314" s="12" t="n"/>
      <c r="J314" s="12" t="n"/>
      <c r="K314" s="12" t="n"/>
      <c r="L314" s="38" t="n"/>
      <c r="M314" s="12" t="n"/>
      <c r="N314" s="12" t="n"/>
      <c r="O314" s="12" t="n"/>
      <c r="P314" s="12" t="n"/>
    </row>
  </sheetData>
  <mergeCells count="2">
    <mergeCell ref="A1:P1"/>
    <mergeCell ref="A2:P2"/>
  </mergeCells>
  <conditionalFormatting sqref="A15:N314">
    <cfRule type="expression" priority="1" dxfId="2">
      <formula>MOD(ROW(),2)=1</formula>
    </cfRule>
  </conditionalFormatting>
  <conditionalFormatting sqref="N15:N314">
    <cfRule type="cellIs" priority="2" operator="equal" dxfId="4">
      <formula>"New"</formula>
    </cfRule>
    <cfRule type="cellIs" priority="3" operator="equal" dxfId="7">
      <formula>"In Production"</formula>
    </cfRule>
    <cfRule type="cellIs" priority="4" operator="equal" dxfId="8">
      <formula>"Packed"</formula>
    </cfRule>
    <cfRule type="cellIs" priority="5" operator="equal" dxfId="9">
      <formula>"Shipped"</formula>
    </cfRule>
    <cfRule type="cellIs" priority="6" operator="equal" dxfId="5">
      <formula>"Delivered"</formula>
    </cfRule>
    <cfRule type="cellIs" priority="7" operator="equal" dxfId="3">
      <formula>"Cancelled"</formula>
    </cfRule>
  </conditionalFormatting>
  <conditionalFormatting sqref="O15:O314">
    <cfRule type="cellIs" priority="8" operator="equal" dxfId="5">
      <formula>"Yes"</formula>
    </cfRule>
    <cfRule type="cellIs" priority="9" operator="equal" dxfId="6">
      <formula>"No"</formula>
    </cfRule>
  </conditionalFormatting>
  <dataValidations count="4">
    <dataValidation sqref="E15:E314" showDropDown="0" showInputMessage="0" showErrorMessage="0" allowBlank="1" type="list">
      <formula1>'Products &amp; Pricing'!$A$14:$A$28</formula1>
    </dataValidation>
    <dataValidation sqref="K15:K314" showDropDown="0" showInputMessage="0" showErrorMessage="1" allowBlank="1" type="list">
      <formula1>"USPS First Class,USPS Priority,UPS Ground,FedEx,Local Pickup / Hand Delivery,Other"</formula1>
    </dataValidation>
    <dataValidation sqref="N15:N314" showDropDown="0" showInputMessage="0" showErrorMessage="1" allowBlank="1" type="list">
      <formula1>"New,In Production,Packed,Shipped,Delivered,Cancelled"</formula1>
    </dataValidation>
    <dataValidation sqref="O15:O314" showDropDown="0" showInputMessage="0" showErrorMessage="1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C4FA1"/>
    <outlinePr summaryBelow="1" summaryRight="1"/>
    <pageSetUpPr/>
  </sheetPr>
  <dimension ref="A1:I2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  <col width="15" customWidth="1" min="5" max="5"/>
    <col width="16" customWidth="1" min="6" max="6"/>
    <col width="13" customWidth="1" min="7" max="7"/>
    <col width="15" customWidth="1" min="8" max="8"/>
    <col width="16" customWidth="1" min="9" max="9"/>
  </cols>
  <sheetData>
    <row r="1" ht="26" customHeight="1">
      <c r="A1" s="1" t="inlineStr">
        <is>
          <t>Monthly Cash Flow — Money In vs. Money Out, Month by Month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Fully automatic. Shows whether each month put you ahead (green) or behind (red), and your running cash balance.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14" customHeight="1">
      <c r="A4" s="15" t="inlineStr">
        <is>
          <t>WHAT THIS TAB IS FOR:  seeing your cash trend. Every number here is pulled automatically from the DATES you enter</t>
        </is>
      </c>
      <c r="B4" s="9" t="n"/>
      <c r="C4" s="9" t="n"/>
      <c r="D4" s="9" t="n"/>
      <c r="E4" s="9" t="n"/>
      <c r="F4" s="9" t="n"/>
      <c r="G4" s="9" t="n"/>
      <c r="H4" s="9" t="n"/>
      <c r="I4" s="9" t="n"/>
    </row>
    <row r="5" ht="14" customHeight="1">
      <c r="A5" s="16" t="inlineStr">
        <is>
          <t>on Funding, Sales Log, Capital, and Operating Costs — you never type in the table itself.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 ht="14" customHeight="1">
      <c r="A6" s="16" t="inlineStr">
        <is>
          <t>THE ONLY TWO THINGS YOU CAN EDIT:  (1) Starting Cash below — money you already had before Month 1;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 ht="14" customHeight="1">
      <c r="A7" s="16" t="inlineStr">
        <is>
          <t>(2) the Month column — if Year 1 doesn't start in January, change the first month and the rest follow.</t>
        </is>
      </c>
      <c r="B7" s="9" t="n"/>
      <c r="C7" s="9" t="n"/>
      <c r="D7" s="9" t="n"/>
      <c r="E7" s="9" t="n"/>
      <c r="F7" s="9" t="n"/>
      <c r="G7" s="9" t="n"/>
      <c r="H7" s="9" t="n"/>
      <c r="I7" s="9" t="n"/>
    </row>
    <row r="8" ht="14" customHeight="1">
      <c r="A8" s="16" t="inlineStr">
        <is>
          <t>HOW TO READ IT:  'Net This Month' green = you made more than you spent that month. 'Running Cash Balance' red =</t>
        </is>
      </c>
      <c r="B8" s="9" t="n"/>
      <c r="C8" s="9" t="n"/>
      <c r="D8" s="9" t="n"/>
      <c r="E8" s="9" t="n"/>
      <c r="F8" s="9" t="n"/>
      <c r="G8" s="9" t="n"/>
      <c r="H8" s="9" t="n"/>
      <c r="I8" s="9" t="n"/>
    </row>
    <row r="9" ht="14" customHeight="1">
      <c r="A9" s="16" t="inlineStr">
        <is>
          <t>you have less than $0 overall — time to slow spending or raise more funding.</t>
        </is>
      </c>
      <c r="B9" s="9" t="n"/>
      <c r="C9" s="9" t="n"/>
      <c r="D9" s="9" t="n"/>
      <c r="E9" s="9" t="n"/>
      <c r="F9" s="9" t="n"/>
      <c r="G9" s="9" t="n"/>
      <c r="H9" s="9" t="n"/>
      <c r="I9" s="9" t="n"/>
    </row>
    <row r="11">
      <c r="A11" s="6" t="inlineStr">
        <is>
          <t>Starting Cash:</t>
        </is>
      </c>
      <c r="B11" s="41" t="n">
        <v>0</v>
      </c>
    </row>
    <row r="13" ht="28" customHeight="1">
      <c r="A13" s="26" t="inlineStr">
        <is>
          <t>Month</t>
        </is>
      </c>
      <c r="B13" s="26" t="inlineStr">
        <is>
          <t>Money In: Funding</t>
        </is>
      </c>
      <c r="C13" s="26" t="inlineStr">
        <is>
          <t>Money In: Sales</t>
        </is>
      </c>
      <c r="D13" s="26" t="inlineStr">
        <is>
          <t>TOTAL IN</t>
        </is>
      </c>
      <c r="E13" s="26" t="inlineStr">
        <is>
          <t>Money Out: Capital</t>
        </is>
      </c>
      <c r="F13" s="26" t="inlineStr">
        <is>
          <t>Money Out: Operating</t>
        </is>
      </c>
      <c r="G13" s="26" t="inlineStr">
        <is>
          <t>TOTAL OUT</t>
        </is>
      </c>
      <c r="H13" s="26" t="inlineStr">
        <is>
          <t>NET THIS MONTH</t>
        </is>
      </c>
      <c r="I13" s="26" t="inlineStr">
        <is>
          <t>RUNNING CASH BALANCE</t>
        </is>
      </c>
    </row>
    <row r="14">
      <c r="A14" s="45" t="n">
        <v>46023</v>
      </c>
      <c r="B14" s="40">
        <f>SUMIFS(Funding!$G$14:$G$313,Funding!$A$14:$A$313,"&gt;="&amp;$A14,Funding!$A$14:$A$313,"&lt;"&amp;EDATE($A14,1))</f>
        <v/>
      </c>
      <c r="C14" s="40">
        <f>SUMIFS('Sales Log'!$L$14:$L$313,'Sales Log'!$A$14:$A$313,"&gt;="&amp;$A14,'Sales Log'!$A$14:$A$313,"&lt;"&amp;EDATE($A14,1))</f>
        <v/>
      </c>
      <c r="D14" s="40">
        <f>B14+C14</f>
        <v/>
      </c>
      <c r="E14" s="40">
        <f>SUMIFS(Capital!$G$14:$G$63,Capital!$E$14:$E$63,"&gt;="&amp;$A14,Capital!$E$14:$E$63,"&lt;"&amp;EDATE($A14,1))</f>
        <v/>
      </c>
      <c r="F14" s="40">
        <f>SUMIFS('Operating Costs'!$E$13:$E$212,'Operating Costs'!$A$13:$A$212,"&gt;="&amp;$A14,'Operating Costs'!$A$13:$A$212,"&lt;"&amp;EDATE($A14,1))</f>
        <v/>
      </c>
      <c r="G14" s="40">
        <f>E14+F14</f>
        <v/>
      </c>
      <c r="H14" s="41">
        <f>D14-G14</f>
        <v/>
      </c>
      <c r="I14" s="41">
        <f>$B$11+H14</f>
        <v/>
      </c>
    </row>
    <row r="15">
      <c r="A15" s="45">
        <f>EDATE(A14,1)</f>
        <v/>
      </c>
      <c r="B15" s="40">
        <f>SUMIFS(Funding!$G$14:$G$313,Funding!$A$14:$A$313,"&gt;="&amp;$A15,Funding!$A$14:$A$313,"&lt;"&amp;EDATE($A15,1))</f>
        <v/>
      </c>
      <c r="C15" s="40">
        <f>SUMIFS('Sales Log'!$L$14:$L$313,'Sales Log'!$A$14:$A$313,"&gt;="&amp;$A15,'Sales Log'!$A$14:$A$313,"&lt;"&amp;EDATE($A15,1))</f>
        <v/>
      </c>
      <c r="D15" s="40">
        <f>B15+C15</f>
        <v/>
      </c>
      <c r="E15" s="40">
        <f>SUMIFS(Capital!$G$14:$G$63,Capital!$E$14:$E$63,"&gt;="&amp;$A15,Capital!$E$14:$E$63,"&lt;"&amp;EDATE($A15,1))</f>
        <v/>
      </c>
      <c r="F15" s="40">
        <f>SUMIFS('Operating Costs'!$E$13:$E$212,'Operating Costs'!$A$13:$A$212,"&gt;="&amp;$A15,'Operating Costs'!$A$13:$A$212,"&lt;"&amp;EDATE($A15,1))</f>
        <v/>
      </c>
      <c r="G15" s="40">
        <f>E15+F15</f>
        <v/>
      </c>
      <c r="H15" s="41">
        <f>D15-G15</f>
        <v/>
      </c>
      <c r="I15" s="41">
        <f>I14+H15</f>
        <v/>
      </c>
    </row>
    <row r="16">
      <c r="A16" s="45">
        <f>EDATE(A15,1)</f>
        <v/>
      </c>
      <c r="B16" s="40">
        <f>SUMIFS(Funding!$G$14:$G$313,Funding!$A$14:$A$313,"&gt;="&amp;$A16,Funding!$A$14:$A$313,"&lt;"&amp;EDATE($A16,1))</f>
        <v/>
      </c>
      <c r="C16" s="40">
        <f>SUMIFS('Sales Log'!$L$14:$L$313,'Sales Log'!$A$14:$A$313,"&gt;="&amp;$A16,'Sales Log'!$A$14:$A$313,"&lt;"&amp;EDATE($A16,1))</f>
        <v/>
      </c>
      <c r="D16" s="40">
        <f>B16+C16</f>
        <v/>
      </c>
      <c r="E16" s="40">
        <f>SUMIFS(Capital!$G$14:$G$63,Capital!$E$14:$E$63,"&gt;="&amp;$A16,Capital!$E$14:$E$63,"&lt;"&amp;EDATE($A16,1))</f>
        <v/>
      </c>
      <c r="F16" s="40">
        <f>SUMIFS('Operating Costs'!$E$13:$E$212,'Operating Costs'!$A$13:$A$212,"&gt;="&amp;$A16,'Operating Costs'!$A$13:$A$212,"&lt;"&amp;EDATE($A16,1))</f>
        <v/>
      </c>
      <c r="G16" s="40">
        <f>E16+F16</f>
        <v/>
      </c>
      <c r="H16" s="41">
        <f>D16-G16</f>
        <v/>
      </c>
      <c r="I16" s="41">
        <f>I15+H16</f>
        <v/>
      </c>
    </row>
    <row r="17">
      <c r="A17" s="45">
        <f>EDATE(A16,1)</f>
        <v/>
      </c>
      <c r="B17" s="40">
        <f>SUMIFS(Funding!$G$14:$G$313,Funding!$A$14:$A$313,"&gt;="&amp;$A17,Funding!$A$14:$A$313,"&lt;"&amp;EDATE($A17,1))</f>
        <v/>
      </c>
      <c r="C17" s="40">
        <f>SUMIFS('Sales Log'!$L$14:$L$313,'Sales Log'!$A$14:$A$313,"&gt;="&amp;$A17,'Sales Log'!$A$14:$A$313,"&lt;"&amp;EDATE($A17,1))</f>
        <v/>
      </c>
      <c r="D17" s="40">
        <f>B17+C17</f>
        <v/>
      </c>
      <c r="E17" s="40">
        <f>SUMIFS(Capital!$G$14:$G$63,Capital!$E$14:$E$63,"&gt;="&amp;$A17,Capital!$E$14:$E$63,"&lt;"&amp;EDATE($A17,1))</f>
        <v/>
      </c>
      <c r="F17" s="40">
        <f>SUMIFS('Operating Costs'!$E$13:$E$212,'Operating Costs'!$A$13:$A$212,"&gt;="&amp;$A17,'Operating Costs'!$A$13:$A$212,"&lt;"&amp;EDATE($A17,1))</f>
        <v/>
      </c>
      <c r="G17" s="40">
        <f>E17+F17</f>
        <v/>
      </c>
      <c r="H17" s="41">
        <f>D17-G17</f>
        <v/>
      </c>
      <c r="I17" s="41">
        <f>I16+H17</f>
        <v/>
      </c>
    </row>
    <row r="18">
      <c r="A18" s="45">
        <f>EDATE(A17,1)</f>
        <v/>
      </c>
      <c r="B18" s="40">
        <f>SUMIFS(Funding!$G$14:$G$313,Funding!$A$14:$A$313,"&gt;="&amp;$A18,Funding!$A$14:$A$313,"&lt;"&amp;EDATE($A18,1))</f>
        <v/>
      </c>
      <c r="C18" s="40">
        <f>SUMIFS('Sales Log'!$L$14:$L$313,'Sales Log'!$A$14:$A$313,"&gt;="&amp;$A18,'Sales Log'!$A$14:$A$313,"&lt;"&amp;EDATE($A18,1))</f>
        <v/>
      </c>
      <c r="D18" s="40">
        <f>B18+C18</f>
        <v/>
      </c>
      <c r="E18" s="40">
        <f>SUMIFS(Capital!$G$14:$G$63,Capital!$E$14:$E$63,"&gt;="&amp;$A18,Capital!$E$14:$E$63,"&lt;"&amp;EDATE($A18,1))</f>
        <v/>
      </c>
      <c r="F18" s="40">
        <f>SUMIFS('Operating Costs'!$E$13:$E$212,'Operating Costs'!$A$13:$A$212,"&gt;="&amp;$A18,'Operating Costs'!$A$13:$A$212,"&lt;"&amp;EDATE($A18,1))</f>
        <v/>
      </c>
      <c r="G18" s="40">
        <f>E18+F18</f>
        <v/>
      </c>
      <c r="H18" s="41">
        <f>D18-G18</f>
        <v/>
      </c>
      <c r="I18" s="41">
        <f>I17+H18</f>
        <v/>
      </c>
    </row>
    <row r="19">
      <c r="A19" s="45">
        <f>EDATE(A18,1)</f>
        <v/>
      </c>
      <c r="B19" s="40">
        <f>SUMIFS(Funding!$G$14:$G$313,Funding!$A$14:$A$313,"&gt;="&amp;$A19,Funding!$A$14:$A$313,"&lt;"&amp;EDATE($A19,1))</f>
        <v/>
      </c>
      <c r="C19" s="40">
        <f>SUMIFS('Sales Log'!$L$14:$L$313,'Sales Log'!$A$14:$A$313,"&gt;="&amp;$A19,'Sales Log'!$A$14:$A$313,"&lt;"&amp;EDATE($A19,1))</f>
        <v/>
      </c>
      <c r="D19" s="40">
        <f>B19+C19</f>
        <v/>
      </c>
      <c r="E19" s="40">
        <f>SUMIFS(Capital!$G$14:$G$63,Capital!$E$14:$E$63,"&gt;="&amp;$A19,Capital!$E$14:$E$63,"&lt;"&amp;EDATE($A19,1))</f>
        <v/>
      </c>
      <c r="F19" s="40">
        <f>SUMIFS('Operating Costs'!$E$13:$E$212,'Operating Costs'!$A$13:$A$212,"&gt;="&amp;$A19,'Operating Costs'!$A$13:$A$212,"&lt;"&amp;EDATE($A19,1))</f>
        <v/>
      </c>
      <c r="G19" s="40">
        <f>E19+F19</f>
        <v/>
      </c>
      <c r="H19" s="41">
        <f>D19-G19</f>
        <v/>
      </c>
      <c r="I19" s="41">
        <f>I18+H19</f>
        <v/>
      </c>
    </row>
    <row r="20">
      <c r="A20" s="45">
        <f>EDATE(A19,1)</f>
        <v/>
      </c>
      <c r="B20" s="40">
        <f>SUMIFS(Funding!$G$14:$G$313,Funding!$A$14:$A$313,"&gt;="&amp;$A20,Funding!$A$14:$A$313,"&lt;"&amp;EDATE($A20,1))</f>
        <v/>
      </c>
      <c r="C20" s="40">
        <f>SUMIFS('Sales Log'!$L$14:$L$313,'Sales Log'!$A$14:$A$313,"&gt;="&amp;$A20,'Sales Log'!$A$14:$A$313,"&lt;"&amp;EDATE($A20,1))</f>
        <v/>
      </c>
      <c r="D20" s="40">
        <f>B20+C20</f>
        <v/>
      </c>
      <c r="E20" s="40">
        <f>SUMIFS(Capital!$G$14:$G$63,Capital!$E$14:$E$63,"&gt;="&amp;$A20,Capital!$E$14:$E$63,"&lt;"&amp;EDATE($A20,1))</f>
        <v/>
      </c>
      <c r="F20" s="40">
        <f>SUMIFS('Operating Costs'!$E$13:$E$212,'Operating Costs'!$A$13:$A$212,"&gt;="&amp;$A20,'Operating Costs'!$A$13:$A$212,"&lt;"&amp;EDATE($A20,1))</f>
        <v/>
      </c>
      <c r="G20" s="40">
        <f>E20+F20</f>
        <v/>
      </c>
      <c r="H20" s="41">
        <f>D20-G20</f>
        <v/>
      </c>
      <c r="I20" s="41">
        <f>I19+H20</f>
        <v/>
      </c>
    </row>
    <row r="21">
      <c r="A21" s="45">
        <f>EDATE(A20,1)</f>
        <v/>
      </c>
      <c r="B21" s="40">
        <f>SUMIFS(Funding!$G$14:$G$313,Funding!$A$14:$A$313,"&gt;="&amp;$A21,Funding!$A$14:$A$313,"&lt;"&amp;EDATE($A21,1))</f>
        <v/>
      </c>
      <c r="C21" s="40">
        <f>SUMIFS('Sales Log'!$L$14:$L$313,'Sales Log'!$A$14:$A$313,"&gt;="&amp;$A21,'Sales Log'!$A$14:$A$313,"&lt;"&amp;EDATE($A21,1))</f>
        <v/>
      </c>
      <c r="D21" s="40">
        <f>B21+C21</f>
        <v/>
      </c>
      <c r="E21" s="40">
        <f>SUMIFS(Capital!$G$14:$G$63,Capital!$E$14:$E$63,"&gt;="&amp;$A21,Capital!$E$14:$E$63,"&lt;"&amp;EDATE($A21,1))</f>
        <v/>
      </c>
      <c r="F21" s="40">
        <f>SUMIFS('Operating Costs'!$E$13:$E$212,'Operating Costs'!$A$13:$A$212,"&gt;="&amp;$A21,'Operating Costs'!$A$13:$A$212,"&lt;"&amp;EDATE($A21,1))</f>
        <v/>
      </c>
      <c r="G21" s="40">
        <f>E21+F21</f>
        <v/>
      </c>
      <c r="H21" s="41">
        <f>D21-G21</f>
        <v/>
      </c>
      <c r="I21" s="41">
        <f>I20+H21</f>
        <v/>
      </c>
    </row>
    <row r="22">
      <c r="A22" s="45">
        <f>EDATE(A21,1)</f>
        <v/>
      </c>
      <c r="B22" s="40">
        <f>SUMIFS(Funding!$G$14:$G$313,Funding!$A$14:$A$313,"&gt;="&amp;$A22,Funding!$A$14:$A$313,"&lt;"&amp;EDATE($A22,1))</f>
        <v/>
      </c>
      <c r="C22" s="40">
        <f>SUMIFS('Sales Log'!$L$14:$L$313,'Sales Log'!$A$14:$A$313,"&gt;="&amp;$A22,'Sales Log'!$A$14:$A$313,"&lt;"&amp;EDATE($A22,1))</f>
        <v/>
      </c>
      <c r="D22" s="40">
        <f>B22+C22</f>
        <v/>
      </c>
      <c r="E22" s="40">
        <f>SUMIFS(Capital!$G$14:$G$63,Capital!$E$14:$E$63,"&gt;="&amp;$A22,Capital!$E$14:$E$63,"&lt;"&amp;EDATE($A22,1))</f>
        <v/>
      </c>
      <c r="F22" s="40">
        <f>SUMIFS('Operating Costs'!$E$13:$E$212,'Operating Costs'!$A$13:$A$212,"&gt;="&amp;$A22,'Operating Costs'!$A$13:$A$212,"&lt;"&amp;EDATE($A22,1))</f>
        <v/>
      </c>
      <c r="G22" s="40">
        <f>E22+F22</f>
        <v/>
      </c>
      <c r="H22" s="41">
        <f>D22-G22</f>
        <v/>
      </c>
      <c r="I22" s="41">
        <f>I21+H22</f>
        <v/>
      </c>
    </row>
    <row r="23">
      <c r="A23" s="45">
        <f>EDATE(A22,1)</f>
        <v/>
      </c>
      <c r="B23" s="40">
        <f>SUMIFS(Funding!$G$14:$G$313,Funding!$A$14:$A$313,"&gt;="&amp;$A23,Funding!$A$14:$A$313,"&lt;"&amp;EDATE($A23,1))</f>
        <v/>
      </c>
      <c r="C23" s="40">
        <f>SUMIFS('Sales Log'!$L$14:$L$313,'Sales Log'!$A$14:$A$313,"&gt;="&amp;$A23,'Sales Log'!$A$14:$A$313,"&lt;"&amp;EDATE($A23,1))</f>
        <v/>
      </c>
      <c r="D23" s="40">
        <f>B23+C23</f>
        <v/>
      </c>
      <c r="E23" s="40">
        <f>SUMIFS(Capital!$G$14:$G$63,Capital!$E$14:$E$63,"&gt;="&amp;$A23,Capital!$E$14:$E$63,"&lt;"&amp;EDATE($A23,1))</f>
        <v/>
      </c>
      <c r="F23" s="40">
        <f>SUMIFS('Operating Costs'!$E$13:$E$212,'Operating Costs'!$A$13:$A$212,"&gt;="&amp;$A23,'Operating Costs'!$A$13:$A$212,"&lt;"&amp;EDATE($A23,1))</f>
        <v/>
      </c>
      <c r="G23" s="40">
        <f>E23+F23</f>
        <v/>
      </c>
      <c r="H23" s="41">
        <f>D23-G23</f>
        <v/>
      </c>
      <c r="I23" s="41">
        <f>I22+H23</f>
        <v/>
      </c>
    </row>
    <row r="24">
      <c r="A24" s="45">
        <f>EDATE(A23,1)</f>
        <v/>
      </c>
      <c r="B24" s="40">
        <f>SUMIFS(Funding!$G$14:$G$313,Funding!$A$14:$A$313,"&gt;="&amp;$A24,Funding!$A$14:$A$313,"&lt;"&amp;EDATE($A24,1))</f>
        <v/>
      </c>
      <c r="C24" s="40">
        <f>SUMIFS('Sales Log'!$L$14:$L$313,'Sales Log'!$A$14:$A$313,"&gt;="&amp;$A24,'Sales Log'!$A$14:$A$313,"&lt;"&amp;EDATE($A24,1))</f>
        <v/>
      </c>
      <c r="D24" s="40">
        <f>B24+C24</f>
        <v/>
      </c>
      <c r="E24" s="40">
        <f>SUMIFS(Capital!$G$14:$G$63,Capital!$E$14:$E$63,"&gt;="&amp;$A24,Capital!$E$14:$E$63,"&lt;"&amp;EDATE($A24,1))</f>
        <v/>
      </c>
      <c r="F24" s="40">
        <f>SUMIFS('Operating Costs'!$E$13:$E$212,'Operating Costs'!$A$13:$A$212,"&gt;="&amp;$A24,'Operating Costs'!$A$13:$A$212,"&lt;"&amp;EDATE($A24,1))</f>
        <v/>
      </c>
      <c r="G24" s="40">
        <f>E24+F24</f>
        <v/>
      </c>
      <c r="H24" s="41">
        <f>D24-G24</f>
        <v/>
      </c>
      <c r="I24" s="41">
        <f>I23+H24</f>
        <v/>
      </c>
    </row>
    <row r="25">
      <c r="A25" s="45">
        <f>EDATE(A24,1)</f>
        <v/>
      </c>
      <c r="B25" s="40">
        <f>SUMIFS(Funding!$G$14:$G$313,Funding!$A$14:$A$313,"&gt;="&amp;$A25,Funding!$A$14:$A$313,"&lt;"&amp;EDATE($A25,1))</f>
        <v/>
      </c>
      <c r="C25" s="40">
        <f>SUMIFS('Sales Log'!$L$14:$L$313,'Sales Log'!$A$14:$A$313,"&gt;="&amp;$A25,'Sales Log'!$A$14:$A$313,"&lt;"&amp;EDATE($A25,1))</f>
        <v/>
      </c>
      <c r="D25" s="40">
        <f>B25+C25</f>
        <v/>
      </c>
      <c r="E25" s="40">
        <f>SUMIFS(Capital!$G$14:$G$63,Capital!$E$14:$E$63,"&gt;="&amp;$A25,Capital!$E$14:$E$63,"&lt;"&amp;EDATE($A25,1))</f>
        <v/>
      </c>
      <c r="F25" s="40">
        <f>SUMIFS('Operating Costs'!$E$13:$E$212,'Operating Costs'!$A$13:$A$212,"&gt;="&amp;$A25,'Operating Costs'!$A$13:$A$212,"&lt;"&amp;EDATE($A25,1))</f>
        <v/>
      </c>
      <c r="G25" s="40">
        <f>E25+F25</f>
        <v/>
      </c>
      <c r="H25" s="41">
        <f>D25-G25</f>
        <v/>
      </c>
      <c r="I25" s="41">
        <f>I24+H25</f>
        <v/>
      </c>
    </row>
    <row r="26">
      <c r="A26" s="32" t="inlineStr">
        <is>
          <t>YEAR 1</t>
        </is>
      </c>
      <c r="B26" s="46">
        <f>SUM(B14:B25)</f>
        <v/>
      </c>
      <c r="C26" s="46">
        <f>SUM(C14:C25)</f>
        <v/>
      </c>
      <c r="D26" s="46">
        <f>SUM(D14:D25)</f>
        <v/>
      </c>
      <c r="E26" s="46">
        <f>SUM(E14:E25)</f>
        <v/>
      </c>
      <c r="F26" s="46">
        <f>SUM(F14:F25)</f>
        <v/>
      </c>
      <c r="G26" s="46">
        <f>SUM(G14:G25)</f>
        <v/>
      </c>
      <c r="H26" s="46">
        <f>SUM(H14:H25)</f>
        <v/>
      </c>
      <c r="I26" s="46">
        <f>I25</f>
        <v/>
      </c>
    </row>
  </sheetData>
  <mergeCells count="2">
    <mergeCell ref="A1:I1"/>
    <mergeCell ref="A2:I2"/>
  </mergeCells>
  <conditionalFormatting sqref="H14:I26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2026-07-02T14:38:17Z</dcterms:created>
  <dcterms:modified xsi:type="dcterms:W3CDTF">2026-07-02T14:38:18Z</dcterms:modified>
</cp:coreProperties>
</file>